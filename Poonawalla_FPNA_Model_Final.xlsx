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5.xml" ContentType="application/vnd.openxmlformats-officedocument.spreadsheetml.comments+xml"/>
  <Override PartName="/xl/threadedComments/threadedComment2.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3.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drawings/drawing2.xml" ContentType="application/vnd.openxmlformats-officedocument.drawing+xml"/>
  <Override PartName="/xl/comments13.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ll\Downloads\Poonawalla\"/>
    </mc:Choice>
  </mc:AlternateContent>
  <xr:revisionPtr revIDLastSave="0" documentId="13_ncr:1_{FE539A97-C30E-48F5-B95F-EDB0AD24EC8B}" xr6:coauthVersionLast="47" xr6:coauthVersionMax="47" xr10:uidLastSave="{00000000-0000-0000-0000-000000000000}"/>
  <bookViews>
    <workbookView xWindow="-108" yWindow="-108" windowWidth="23256" windowHeight="12456" xr2:uid="{54A5F4D1-4F90-4CD1-B1DF-5C438B93EC13}"/>
  </bookViews>
  <sheets>
    <sheet name="Home" sheetId="31" r:id="rId1"/>
    <sheet name="A - Business Model" sheetId="38" r:id="rId2"/>
    <sheet name="Business Operating Model" sheetId="32" r:id="rId3"/>
    <sheet name="FP&amp;A Value Creation Framework" sheetId="13" r:id="rId4"/>
    <sheet name="Distribution Analytics" sheetId="35" r:id="rId5"/>
    <sheet name="Customer Economics" sheetId="34" r:id="rId6"/>
    <sheet name="Customer Analytics" sheetId="10" r:id="rId7"/>
    <sheet name="B - Strategic Finance" sheetId="39" r:id="rId8"/>
    <sheet name="Executive Board Cockpit" sheetId="30" r:id="rId9"/>
    <sheet name="Business Performance Scorecard" sheetId="5" r:id="rId10"/>
    <sheet name="Business Drivers" sheetId="16" r:id="rId11"/>
    <sheet name="KPIs &amp; Ratios" sheetId="14" r:id="rId12"/>
    <sheet name="C - Planning &amp; Forecasting" sheetId="40" r:id="rId13"/>
    <sheet name="Assumptions" sheetId="15" r:id="rId14"/>
    <sheet name="Revenue Forecast" sheetId="17" r:id="rId15"/>
    <sheet name="Funding Forecast" sheetId="18" r:id="rId16"/>
    <sheet name="Treasury" sheetId="7" r:id="rId17"/>
    <sheet name="Credit Cost Forecast" sheetId="19" r:id="rId18"/>
    <sheet name="Operating Cost Forecast" sheetId="20" r:id="rId19"/>
    <sheet name="Regulatory Capital" sheetId="44" r:id="rId20"/>
    <sheet name="CapEx &amp; Depreciation Schedule" sheetId="27" r:id="rId21"/>
    <sheet name="D - Performance &amp; Risk" sheetId="41" r:id="rId22"/>
    <sheet name="Portfolio Mix" sheetId="33" r:id="rId23"/>
    <sheet name="Product Profitability" sheetId="8" r:id="rId24"/>
    <sheet name="Branch Profitability" sheetId="9" r:id="rId25"/>
    <sheet name="Collections Analytics" sheetId="36" r:id="rId26"/>
    <sheet name="Digital Transformation" sheetId="37" r:id="rId27"/>
    <sheet name="Enterprise Risk Cockpit" sheetId="29" r:id="rId28"/>
    <sheet name="Scenario Analysis" sheetId="25" r:id="rId29"/>
    <sheet name="E - Executive Decision Support" sheetId="42" r:id="rId30"/>
    <sheet name="Management Recommendations" sheetId="26" r:id="rId31"/>
    <sheet name="Value Creation Tracker" sheetId="12" r:id="rId32"/>
    <sheet name="F - Financial Statements" sheetId="43" r:id="rId33"/>
    <sheet name="Profit &amp; Loss" sheetId="2" r:id="rId34"/>
    <sheet name="Balance Sheet" sheetId="1" r:id="rId35"/>
    <sheet name="Cash Flow Statement" sheetId="3" r:id="rId36"/>
    <sheet name="Statement of Changes in Equity" sheetId="4" r:id="rId37"/>
  </sheets>
  <definedNames>
    <definedName name="_xlnm.Print_Area" localSheetId="30">'Management Recommendations'!$A$1:$H$71</definedName>
    <definedName name="_xlnm.Print_Area" localSheetId="22">'Portfolio Mix'!$A$1:$K$30</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45" i="5" l="1"/>
  <c r="L244" i="5"/>
  <c r="L243" i="5"/>
  <c r="L242" i="5"/>
  <c r="L241" i="5"/>
  <c r="L240" i="5"/>
  <c r="L239" i="5"/>
  <c r="L238" i="5"/>
  <c r="L227" i="5"/>
  <c r="L226" i="5"/>
  <c r="L225" i="5"/>
  <c r="L224" i="5"/>
  <c r="L223" i="5"/>
  <c r="L222" i="5"/>
  <c r="L221" i="5"/>
  <c r="L220" i="5"/>
  <c r="L191" i="5"/>
  <c r="L190" i="5"/>
  <c r="L189" i="5"/>
  <c r="L188" i="5"/>
  <c r="L187" i="5"/>
  <c r="L186" i="5"/>
  <c r="L185" i="5"/>
  <c r="L184" i="5"/>
  <c r="L182" i="5"/>
  <c r="L181" i="5"/>
  <c r="L180" i="5"/>
  <c r="L179" i="5"/>
  <c r="L178" i="5"/>
  <c r="L177" i="5"/>
  <c r="L176" i="5"/>
  <c r="L175" i="5"/>
  <c r="C50" i="20"/>
  <c r="G109" i="44"/>
  <c r="F109" i="44"/>
  <c r="E109" i="44"/>
  <c r="D109" i="44"/>
  <c r="C109" i="44"/>
  <c r="C101" i="44"/>
  <c r="C97" i="44"/>
  <c r="B24" i="26"/>
  <c r="D15" i="26"/>
  <c r="E47" i="20"/>
  <c r="C47" i="20"/>
  <c r="E46" i="20"/>
  <c r="C46" i="20"/>
  <c r="E45" i="20"/>
  <c r="C45" i="20"/>
  <c r="E43" i="20"/>
  <c r="D43" i="20"/>
  <c r="C43" i="20"/>
  <c r="E42" i="20"/>
  <c r="D42" i="20"/>
  <c r="C42" i="20"/>
  <c r="E41" i="20"/>
  <c r="D41" i="20"/>
  <c r="C41" i="20"/>
  <c r="E40" i="20"/>
  <c r="D40" i="20"/>
  <c r="C40" i="20"/>
  <c r="E39" i="20"/>
  <c r="D39" i="20"/>
  <c r="C39" i="20"/>
  <c r="E38" i="20"/>
  <c r="D38" i="20"/>
  <c r="C38" i="20"/>
  <c r="B57" i="26"/>
  <c r="C52" i="26"/>
  <c r="C50" i="26"/>
  <c r="C49" i="26"/>
  <c r="C80" i="44"/>
  <c r="C77" i="44"/>
  <c r="C73" i="44"/>
  <c r="B53" i="25"/>
  <c r="E51" i="25"/>
  <c r="D51" i="25"/>
  <c r="B56" i="25" s="1"/>
  <c r="C51" i="25"/>
  <c r="K20" i="8"/>
  <c r="K19" i="8"/>
  <c r="K18" i="8"/>
  <c r="K17" i="8"/>
  <c r="K16" i="8"/>
  <c r="K15" i="8"/>
  <c r="K14" i="8"/>
  <c r="K13" i="8"/>
  <c r="K12" i="8"/>
  <c r="K11" i="8"/>
  <c r="K10" i="8"/>
  <c r="K9" i="8"/>
  <c r="K8" i="8"/>
  <c r="D25" i="44"/>
  <c r="C42" i="44"/>
  <c r="C39" i="44"/>
  <c r="C34" i="44"/>
  <c r="C30" i="44"/>
  <c r="C29" i="44"/>
  <c r="C28" i="44"/>
  <c r="C25" i="44"/>
  <c r="C22" i="44"/>
  <c r="E15" i="12"/>
  <c r="E14" i="12"/>
  <c r="E13" i="12"/>
  <c r="M10" i="12"/>
  <c r="M9" i="12"/>
  <c r="M8" i="12"/>
  <c r="M7" i="12"/>
  <c r="M6" i="12"/>
  <c r="M5" i="12"/>
  <c r="E8" i="9"/>
  <c r="D8" i="9"/>
  <c r="C8" i="9"/>
  <c r="C6" i="9"/>
  <c r="C7" i="9" s="1"/>
  <c r="D6" i="9"/>
  <c r="D7" i="9" s="1"/>
  <c r="E6" i="9"/>
  <c r="E7" i="9" s="1"/>
  <c r="F6" i="9"/>
  <c r="F7" i="9" s="1"/>
  <c r="F21" i="9"/>
  <c r="F8" i="9"/>
  <c r="B3" i="5"/>
  <c r="B127" i="5"/>
  <c r="B39" i="30"/>
  <c r="E5" i="30"/>
  <c r="B2" i="30"/>
  <c r="E16" i="37"/>
  <c r="E15" i="37"/>
  <c r="E14" i="37"/>
  <c r="E13" i="37"/>
  <c r="E10" i="37"/>
  <c r="D5" i="37"/>
  <c r="C5" i="37"/>
  <c r="F9" i="36"/>
  <c r="E9" i="36"/>
  <c r="D9" i="36"/>
  <c r="C9" i="36"/>
  <c r="F7" i="36"/>
  <c r="F6" i="36"/>
  <c r="C16" i="35"/>
  <c r="C14" i="35"/>
  <c r="E10" i="35"/>
  <c r="D10" i="35"/>
  <c r="C10" i="35"/>
  <c r="E9" i="34"/>
  <c r="D9" i="34"/>
  <c r="C9" i="34"/>
  <c r="E7" i="34"/>
  <c r="D7" i="34"/>
  <c r="C7" i="34"/>
  <c r="E6" i="34"/>
  <c r="D6" i="34"/>
  <c r="C6" i="34"/>
  <c r="E5" i="34"/>
  <c r="D5" i="34"/>
  <c r="C5" i="34"/>
  <c r="C23" i="33"/>
  <c r="C22" i="33"/>
  <c r="C21" i="33"/>
  <c r="C20" i="33"/>
  <c r="G16" i="33"/>
  <c r="F16" i="33"/>
  <c r="B16" i="33"/>
  <c r="B17" i="44" s="1"/>
  <c r="G15" i="33"/>
  <c r="F15" i="33"/>
  <c r="C15" i="33"/>
  <c r="C16" i="44" s="1"/>
  <c r="E16" i="44" s="1"/>
  <c r="B15" i="33"/>
  <c r="B16" i="44" s="1"/>
  <c r="G14" i="33"/>
  <c r="F14" i="33"/>
  <c r="C14" i="33"/>
  <c r="C15" i="44" s="1"/>
  <c r="E15" i="44" s="1"/>
  <c r="B14" i="33"/>
  <c r="B15" i="44" s="1"/>
  <c r="G13" i="33"/>
  <c r="F13" i="33"/>
  <c r="C13" i="33"/>
  <c r="C14" i="44" s="1"/>
  <c r="E14" i="44" s="1"/>
  <c r="B13" i="33"/>
  <c r="B14" i="44" s="1"/>
  <c r="G12" i="33"/>
  <c r="F12" i="33"/>
  <c r="C12" i="33"/>
  <c r="C13" i="44" s="1"/>
  <c r="E13" i="44" s="1"/>
  <c r="B12" i="33"/>
  <c r="B13" i="44" s="1"/>
  <c r="G11" i="33"/>
  <c r="F11" i="33"/>
  <c r="C11" i="33"/>
  <c r="C12" i="44" s="1"/>
  <c r="E12" i="44" s="1"/>
  <c r="B11" i="33"/>
  <c r="B12" i="44" s="1"/>
  <c r="G10" i="33"/>
  <c r="F10" i="33"/>
  <c r="C10" i="33"/>
  <c r="C11" i="44" s="1"/>
  <c r="E11" i="44" s="1"/>
  <c r="B10" i="33"/>
  <c r="B11" i="44" s="1"/>
  <c r="G9" i="33"/>
  <c r="F9" i="33"/>
  <c r="C9" i="33"/>
  <c r="C10" i="44" s="1"/>
  <c r="E10" i="44" s="1"/>
  <c r="B9" i="33"/>
  <c r="B10" i="44" s="1"/>
  <c r="G8" i="33"/>
  <c r="F8" i="33"/>
  <c r="C8" i="33"/>
  <c r="C9" i="44" s="1"/>
  <c r="E9" i="44" s="1"/>
  <c r="B8" i="33"/>
  <c r="B9" i="44" s="1"/>
  <c r="G7" i="33"/>
  <c r="F7" i="33"/>
  <c r="C7" i="33"/>
  <c r="C8" i="44" s="1"/>
  <c r="E8" i="44" s="1"/>
  <c r="B7" i="33"/>
  <c r="B8" i="44" s="1"/>
  <c r="G6" i="33"/>
  <c r="F6" i="33"/>
  <c r="C6" i="33"/>
  <c r="C7" i="44" s="1"/>
  <c r="E7" i="44" s="1"/>
  <c r="B6" i="33"/>
  <c r="B7" i="44" s="1"/>
  <c r="G5" i="33"/>
  <c r="F5" i="33"/>
  <c r="C5" i="33"/>
  <c r="C6" i="44" s="1"/>
  <c r="B5" i="33"/>
  <c r="B6" i="44" s="1"/>
  <c r="E15" i="32"/>
  <c r="E14" i="32"/>
  <c r="E13" i="32"/>
  <c r="E12" i="32"/>
  <c r="E11" i="32"/>
  <c r="E10" i="32"/>
  <c r="E8" i="32"/>
  <c r="E7" i="32"/>
  <c r="E6" i="32"/>
  <c r="F21" i="30"/>
  <c r="E162" i="5"/>
  <c r="F162" i="5"/>
  <c r="G162" i="5"/>
  <c r="H162" i="5"/>
  <c r="C163" i="5"/>
  <c r="D163" i="5"/>
  <c r="E163" i="5"/>
  <c r="F163" i="5"/>
  <c r="G163" i="5"/>
  <c r="H163" i="5"/>
  <c r="F185" i="5"/>
  <c r="G185" i="5"/>
  <c r="H185" i="5"/>
  <c r="F95" i="14"/>
  <c r="H95" i="14"/>
  <c r="G95" i="14"/>
  <c r="D149" i="5"/>
  <c r="C149" i="5"/>
  <c r="D148" i="5"/>
  <c r="C148" i="5"/>
  <c r="D147" i="5"/>
  <c r="C147" i="5"/>
  <c r="D146" i="5"/>
  <c r="C146" i="5"/>
  <c r="G141" i="5"/>
  <c r="B141" i="5"/>
  <c r="G140" i="5"/>
  <c r="B140" i="5"/>
  <c r="G139" i="5"/>
  <c r="B139" i="5"/>
  <c r="G138" i="5"/>
  <c r="B138" i="5"/>
  <c r="G137" i="5"/>
  <c r="B137" i="5"/>
  <c r="D123" i="5"/>
  <c r="D121" i="5"/>
  <c r="E113" i="5"/>
  <c r="D93" i="5"/>
  <c r="H93" i="5" s="1"/>
  <c r="D96" i="5"/>
  <c r="H96" i="5" s="1"/>
  <c r="E94" i="5"/>
  <c r="D94" i="5"/>
  <c r="D92" i="5"/>
  <c r="B86" i="5"/>
  <c r="C75" i="30"/>
  <c r="D66" i="30"/>
  <c r="C66" i="30"/>
  <c r="D65" i="30"/>
  <c r="C65" i="30"/>
  <c r="D64" i="30"/>
  <c r="C64" i="30"/>
  <c r="D63" i="30"/>
  <c r="C63" i="30"/>
  <c r="E59" i="30"/>
  <c r="B59" i="30"/>
  <c r="E58" i="30"/>
  <c r="B58" i="30"/>
  <c r="E57" i="30"/>
  <c r="B57" i="30"/>
  <c r="E56" i="30"/>
  <c r="B56" i="30"/>
  <c r="E51" i="30"/>
  <c r="B51" i="30"/>
  <c r="E50" i="30"/>
  <c r="B50" i="30"/>
  <c r="E49" i="30"/>
  <c r="B49" i="30"/>
  <c r="E48" i="30"/>
  <c r="B48" i="30"/>
  <c r="E37" i="30"/>
  <c r="C37" i="30"/>
  <c r="D34" i="30"/>
  <c r="E34" i="30" s="1"/>
  <c r="C34" i="30"/>
  <c r="D33" i="30"/>
  <c r="E33" i="30" s="1"/>
  <c r="C33" i="30"/>
  <c r="E21" i="30"/>
  <c r="D6" i="30"/>
  <c r="D10" i="30"/>
  <c r="G10" i="30" s="1"/>
  <c r="E8" i="30"/>
  <c r="D8" i="30"/>
  <c r="E93" i="29"/>
  <c r="D93" i="29"/>
  <c r="C93" i="29"/>
  <c r="E92" i="29"/>
  <c r="D92" i="29"/>
  <c r="C92" i="29"/>
  <c r="E91" i="29"/>
  <c r="D91" i="29"/>
  <c r="C91" i="29"/>
  <c r="E90" i="29"/>
  <c r="D90" i="29"/>
  <c r="C90" i="29"/>
  <c r="E89" i="29"/>
  <c r="E94" i="29" s="1"/>
  <c r="D89" i="29"/>
  <c r="C89" i="29"/>
  <c r="C67" i="29"/>
  <c r="C65" i="29"/>
  <c r="D65" i="29" s="1"/>
  <c r="D63" i="29"/>
  <c r="C63" i="29"/>
  <c r="C62" i="29"/>
  <c r="D62" i="29" s="1"/>
  <c r="C60" i="29"/>
  <c r="D15" i="29"/>
  <c r="D14" i="29"/>
  <c r="E14" i="29" s="1"/>
  <c r="D13" i="29"/>
  <c r="E13" i="29" s="1"/>
  <c r="D9" i="29"/>
  <c r="E9" i="29" s="1"/>
  <c r="D8" i="29"/>
  <c r="E8" i="29" s="1"/>
  <c r="D7" i="29"/>
  <c r="E7" i="29" s="1"/>
  <c r="H94" i="14"/>
  <c r="K231" i="5" s="1"/>
  <c r="G94" i="14"/>
  <c r="K230" i="5" s="1"/>
  <c r="F94" i="14"/>
  <c r="K229" i="5" s="1"/>
  <c r="E94" i="14"/>
  <c r="D94" i="14"/>
  <c r="C94" i="14"/>
  <c r="G83" i="14"/>
  <c r="F83" i="14"/>
  <c r="E83" i="14"/>
  <c r="D83" i="14"/>
  <c r="C83" i="14"/>
  <c r="H83" i="14"/>
  <c r="C13" i="35" s="1"/>
  <c r="E53" i="14"/>
  <c r="C53" i="14"/>
  <c r="D13" i="14"/>
  <c r="M45" i="14"/>
  <c r="L45" i="14"/>
  <c r="K45" i="14"/>
  <c r="K189" i="5" s="1"/>
  <c r="J45" i="14"/>
  <c r="K188" i="5" s="1"/>
  <c r="I45" i="14"/>
  <c r="K187" i="5" s="1"/>
  <c r="M44" i="14"/>
  <c r="K182" i="5" s="1"/>
  <c r="L44" i="14"/>
  <c r="K181" i="5" s="1"/>
  <c r="K44" i="14"/>
  <c r="K180" i="5" s="1"/>
  <c r="J44" i="14"/>
  <c r="I44" i="14"/>
  <c r="H73" i="14"/>
  <c r="G73" i="14"/>
  <c r="M62" i="14"/>
  <c r="L62" i="14"/>
  <c r="K62" i="14"/>
  <c r="J62" i="14"/>
  <c r="I62" i="14"/>
  <c r="M39" i="14"/>
  <c r="L39" i="14"/>
  <c r="K39" i="14"/>
  <c r="J39" i="14"/>
  <c r="I39" i="14"/>
  <c r="I20" i="8"/>
  <c r="I19" i="8"/>
  <c r="J19" i="8" s="1"/>
  <c r="I18" i="8"/>
  <c r="J18" i="8" s="1"/>
  <c r="I17" i="8"/>
  <c r="J17" i="8" s="1"/>
  <c r="I16" i="8"/>
  <c r="J16" i="8" s="1"/>
  <c r="I15" i="8"/>
  <c r="J15" i="8" s="1"/>
  <c r="I14" i="8"/>
  <c r="J14" i="8" s="1"/>
  <c r="I13" i="8"/>
  <c r="J13" i="8" s="1"/>
  <c r="I12" i="8"/>
  <c r="J12" i="8" s="1"/>
  <c r="I11" i="8"/>
  <c r="J11" i="8" s="1"/>
  <c r="I10" i="8"/>
  <c r="J10" i="8" s="1"/>
  <c r="I9" i="8"/>
  <c r="J9" i="8" s="1"/>
  <c r="I8" i="8"/>
  <c r="J8" i="8" s="1"/>
  <c r="C5" i="8"/>
  <c r="D20" i="8" s="1"/>
  <c r="C16" i="33" s="1"/>
  <c r="F9" i="10"/>
  <c r="F10" i="10" s="1"/>
  <c r="E8" i="34" s="1"/>
  <c r="E9" i="10"/>
  <c r="E10" i="10" s="1"/>
  <c r="D8" i="34" s="1"/>
  <c r="D9" i="10"/>
  <c r="D10" i="10" s="1"/>
  <c r="C8" i="34" s="1"/>
  <c r="C9" i="10"/>
  <c r="C10" i="10" s="1"/>
  <c r="H8" i="14"/>
  <c r="G8" i="14"/>
  <c r="F8" i="14"/>
  <c r="E8" i="14"/>
  <c r="H77" i="3"/>
  <c r="H18" i="15"/>
  <c r="G18" i="15"/>
  <c r="F18" i="15"/>
  <c r="E18" i="15"/>
  <c r="D18" i="15"/>
  <c r="M26" i="1"/>
  <c r="L26" i="1"/>
  <c r="K26" i="1"/>
  <c r="J26" i="1"/>
  <c r="I26" i="1"/>
  <c r="M25" i="1"/>
  <c r="L25" i="1"/>
  <c r="K25" i="1"/>
  <c r="J25" i="1"/>
  <c r="I25" i="1"/>
  <c r="M23" i="1"/>
  <c r="L23" i="1"/>
  <c r="K23" i="1"/>
  <c r="J23" i="1"/>
  <c r="I23" i="1"/>
  <c r="M22" i="1"/>
  <c r="L22" i="1"/>
  <c r="K22" i="1"/>
  <c r="J22" i="1"/>
  <c r="I22" i="1"/>
  <c r="M42" i="3"/>
  <c r="L42" i="3"/>
  <c r="L56" i="3" s="1"/>
  <c r="K42" i="3"/>
  <c r="K56" i="3" s="1"/>
  <c r="J42" i="3"/>
  <c r="J56" i="3" s="1"/>
  <c r="I42" i="3"/>
  <c r="I56" i="3" s="1"/>
  <c r="M9" i="3"/>
  <c r="L9" i="3"/>
  <c r="K9" i="3"/>
  <c r="J9" i="3"/>
  <c r="I9" i="3"/>
  <c r="C34" i="20"/>
  <c r="M22" i="2"/>
  <c r="L22" i="2"/>
  <c r="K22" i="2"/>
  <c r="J22" i="2"/>
  <c r="I22" i="2"/>
  <c r="H11" i="27"/>
  <c r="G11" i="27"/>
  <c r="F11" i="27"/>
  <c r="E11" i="27"/>
  <c r="F6" i="27" s="1"/>
  <c r="F9" i="27" s="1"/>
  <c r="D11" i="27"/>
  <c r="E6" i="27" s="1"/>
  <c r="E9" i="27" s="1"/>
  <c r="C11" i="27"/>
  <c r="D6" i="27" s="1"/>
  <c r="D9" i="27" s="1"/>
  <c r="C9" i="27"/>
  <c r="H6" i="27"/>
  <c r="H9" i="27" s="1"/>
  <c r="G6" i="27"/>
  <c r="G9" i="27" s="1"/>
  <c r="I73" i="3"/>
  <c r="M56" i="3"/>
  <c r="M43" i="2"/>
  <c r="L43" i="2"/>
  <c r="K43" i="2"/>
  <c r="J43" i="2"/>
  <c r="I43" i="2"/>
  <c r="M37" i="2"/>
  <c r="L37" i="2"/>
  <c r="K37" i="2"/>
  <c r="J37" i="2"/>
  <c r="I37" i="2"/>
  <c r="D30" i="26"/>
  <c r="D23" i="26"/>
  <c r="C6" i="25"/>
  <c r="C33" i="20"/>
  <c r="D31" i="20"/>
  <c r="E31" i="20" s="1"/>
  <c r="F31" i="20" s="1"/>
  <c r="G31" i="20" s="1"/>
  <c r="H31" i="20" s="1"/>
  <c r="H30" i="20"/>
  <c r="G30" i="20"/>
  <c r="F30" i="20"/>
  <c r="E30" i="20"/>
  <c r="D30" i="20"/>
  <c r="D23" i="20"/>
  <c r="D19" i="20"/>
  <c r="E19" i="20" s="1"/>
  <c r="F19" i="20" s="1"/>
  <c r="G19" i="20" s="1"/>
  <c r="H19" i="20" s="1"/>
  <c r="D14" i="20"/>
  <c r="C12" i="20"/>
  <c r="C9" i="20"/>
  <c r="C8" i="20"/>
  <c r="D8" i="20" s="1"/>
  <c r="C7" i="20"/>
  <c r="C12" i="19"/>
  <c r="H8" i="19"/>
  <c r="G8" i="19"/>
  <c r="F8" i="19"/>
  <c r="E8" i="19"/>
  <c r="D8" i="19"/>
  <c r="C8" i="19"/>
  <c r="C13" i="18"/>
  <c r="C11" i="18"/>
  <c r="C10" i="17"/>
  <c r="C8" i="17"/>
  <c r="H28" i="16"/>
  <c r="G28" i="16"/>
  <c r="F28" i="16"/>
  <c r="E28" i="16"/>
  <c r="D28" i="16"/>
  <c r="C28" i="16"/>
  <c r="H26" i="16"/>
  <c r="G26" i="16"/>
  <c r="F26" i="16"/>
  <c r="E26" i="16"/>
  <c r="D26" i="16"/>
  <c r="D27" i="16" s="1"/>
  <c r="C21" i="16"/>
  <c r="D13" i="16"/>
  <c r="E13" i="14"/>
  <c r="F13" i="14"/>
  <c r="E14" i="14"/>
  <c r="E164" i="5" s="1"/>
  <c r="F14" i="14"/>
  <c r="F164" i="5" s="1"/>
  <c r="G14" i="14"/>
  <c r="G164" i="5" s="1"/>
  <c r="H14" i="14"/>
  <c r="H164" i="5" s="1"/>
  <c r="D73" i="14"/>
  <c r="E73" i="14"/>
  <c r="F73" i="14"/>
  <c r="E18" i="14"/>
  <c r="F18" i="14"/>
  <c r="G18" i="14"/>
  <c r="H18" i="14"/>
  <c r="C36" i="14"/>
  <c r="D36" i="14"/>
  <c r="E36" i="14"/>
  <c r="F36" i="14"/>
  <c r="G36" i="14"/>
  <c r="H36" i="14"/>
  <c r="F39" i="14"/>
  <c r="G39" i="14"/>
  <c r="H39" i="14"/>
  <c r="H65" i="14"/>
  <c r="G65" i="14"/>
  <c r="F65" i="14"/>
  <c r="E65" i="14"/>
  <c r="D65" i="14"/>
  <c r="C65" i="14"/>
  <c r="H64" i="14"/>
  <c r="G64" i="14"/>
  <c r="F64" i="14"/>
  <c r="E64" i="14"/>
  <c r="D64" i="14"/>
  <c r="C64" i="14"/>
  <c r="C63" i="14"/>
  <c r="C66" i="14" s="1"/>
  <c r="D62" i="14"/>
  <c r="H58" i="14"/>
  <c r="G58" i="14"/>
  <c r="F58" i="14"/>
  <c r="E58" i="14"/>
  <c r="D58" i="14"/>
  <c r="C58" i="14"/>
  <c r="H53" i="14"/>
  <c r="G53" i="14"/>
  <c r="F53" i="14"/>
  <c r="D53" i="14"/>
  <c r="H52" i="14"/>
  <c r="G52" i="14"/>
  <c r="F52" i="14"/>
  <c r="E52" i="14"/>
  <c r="D52" i="14"/>
  <c r="C52" i="14"/>
  <c r="H45" i="14"/>
  <c r="G45" i="14"/>
  <c r="F45" i="14"/>
  <c r="E45" i="14"/>
  <c r="D45" i="14"/>
  <c r="H44" i="14"/>
  <c r="G44" i="14"/>
  <c r="F44" i="14"/>
  <c r="E44" i="14"/>
  <c r="D44" i="14"/>
  <c r="H32" i="14"/>
  <c r="G32" i="14"/>
  <c r="F32" i="14"/>
  <c r="E32" i="14"/>
  <c r="D32" i="14"/>
  <c r="H28" i="14"/>
  <c r="G28" i="14"/>
  <c r="F28" i="14"/>
  <c r="E28" i="14"/>
  <c r="D28" i="14"/>
  <c r="C28" i="14"/>
  <c r="H24" i="14"/>
  <c r="G24" i="14"/>
  <c r="F24" i="14"/>
  <c r="E24" i="14"/>
  <c r="D24" i="14"/>
  <c r="H22" i="14"/>
  <c r="G22" i="14"/>
  <c r="F22" i="14"/>
  <c r="E22" i="14"/>
  <c r="D22" i="14"/>
  <c r="H21" i="14"/>
  <c r="K168" i="5" s="1"/>
  <c r="G21" i="14"/>
  <c r="K167" i="5" s="1"/>
  <c r="F21" i="14"/>
  <c r="K166" i="5" s="1"/>
  <c r="E21" i="14"/>
  <c r="D21" i="14"/>
  <c r="C21" i="14"/>
  <c r="H11" i="14"/>
  <c r="G11" i="14"/>
  <c r="F11" i="14"/>
  <c r="E11" i="14"/>
  <c r="D11" i="14"/>
  <c r="H7" i="14"/>
  <c r="G7" i="14"/>
  <c r="F7" i="14"/>
  <c r="E7" i="14"/>
  <c r="D7" i="14"/>
  <c r="G10" i="12"/>
  <c r="F6" i="10"/>
  <c r="E6" i="10"/>
  <c r="D6" i="10"/>
  <c r="H17" i="7"/>
  <c r="G17" i="7"/>
  <c r="F17" i="7"/>
  <c r="E17" i="7"/>
  <c r="D17" i="7"/>
  <c r="C17" i="7"/>
  <c r="H8" i="7"/>
  <c r="G8" i="7"/>
  <c r="F8" i="7"/>
  <c r="E8" i="7"/>
  <c r="D8" i="7"/>
  <c r="C8" i="7"/>
  <c r="H7" i="7"/>
  <c r="G7" i="7"/>
  <c r="F7" i="7"/>
  <c r="E7" i="7"/>
  <c r="D7" i="7"/>
  <c r="C7" i="7"/>
  <c r="H6" i="7"/>
  <c r="G6" i="7"/>
  <c r="F6" i="7"/>
  <c r="E6" i="7"/>
  <c r="D6" i="7"/>
  <c r="C6" i="7"/>
  <c r="C27" i="4"/>
  <c r="D27" i="4"/>
  <c r="E27" i="4"/>
  <c r="F27" i="4"/>
  <c r="G27" i="4"/>
  <c r="H27" i="4"/>
  <c r="C23" i="4"/>
  <c r="D23" i="4"/>
  <c r="E23" i="4"/>
  <c r="F23" i="4"/>
  <c r="G23" i="4"/>
  <c r="H23" i="4"/>
  <c r="C10" i="4"/>
  <c r="D10" i="4"/>
  <c r="E10" i="4"/>
  <c r="F10" i="4"/>
  <c r="G10" i="4"/>
  <c r="H10" i="4"/>
  <c r="C71" i="3"/>
  <c r="D71" i="3"/>
  <c r="E71" i="3"/>
  <c r="F71" i="3"/>
  <c r="G71" i="3"/>
  <c r="H71" i="3"/>
  <c r="C56" i="3"/>
  <c r="D56" i="3"/>
  <c r="E56" i="3"/>
  <c r="F56" i="3"/>
  <c r="G56" i="3"/>
  <c r="H56" i="3"/>
  <c r="C25" i="3"/>
  <c r="C38" i="3" s="1"/>
  <c r="C40" i="3" s="1"/>
  <c r="C72" i="3" s="1"/>
  <c r="C75" i="3" s="1"/>
  <c r="D25" i="3"/>
  <c r="D38" i="3" s="1"/>
  <c r="D40" i="3" s="1"/>
  <c r="E25" i="3"/>
  <c r="E38" i="3" s="1"/>
  <c r="E40" i="3" s="1"/>
  <c r="E72" i="3" s="1"/>
  <c r="E75" i="3" s="1"/>
  <c r="F25" i="3"/>
  <c r="F38" i="3" s="1"/>
  <c r="F40" i="3" s="1"/>
  <c r="F72" i="3" s="1"/>
  <c r="F75" i="3" s="1"/>
  <c r="G25" i="3"/>
  <c r="G38" i="3" s="1"/>
  <c r="G40" i="3" s="1"/>
  <c r="G72" i="3" s="1"/>
  <c r="G75" i="3" s="1"/>
  <c r="H25" i="3"/>
  <c r="H38" i="3" s="1"/>
  <c r="H40" i="3" s="1"/>
  <c r="H72" i="3" s="1"/>
  <c r="H75" i="3" s="1"/>
  <c r="C43" i="2"/>
  <c r="D43" i="2"/>
  <c r="E43" i="2"/>
  <c r="F43" i="2"/>
  <c r="G43" i="2"/>
  <c r="H43" i="2"/>
  <c r="C37" i="2"/>
  <c r="D37" i="2"/>
  <c r="E37" i="2"/>
  <c r="F37" i="2"/>
  <c r="G37" i="2"/>
  <c r="H37" i="2"/>
  <c r="C33" i="2"/>
  <c r="D33" i="2"/>
  <c r="E33" i="2"/>
  <c r="F33" i="2"/>
  <c r="G33" i="2"/>
  <c r="H33" i="2"/>
  <c r="C24" i="2"/>
  <c r="D24" i="2"/>
  <c r="E24" i="2"/>
  <c r="F24" i="2"/>
  <c r="G24" i="2"/>
  <c r="H24" i="2"/>
  <c r="C13" i="2"/>
  <c r="C15" i="2" s="1"/>
  <c r="D13" i="2"/>
  <c r="D15" i="2" s="1"/>
  <c r="E13" i="2"/>
  <c r="E15" i="2" s="1"/>
  <c r="F13" i="2"/>
  <c r="F15" i="2" s="1"/>
  <c r="G13" i="2"/>
  <c r="G15" i="2" s="1"/>
  <c r="H13" i="2"/>
  <c r="H15" i="2" s="1"/>
  <c r="C55" i="1"/>
  <c r="D55" i="1"/>
  <c r="E55" i="1"/>
  <c r="F55" i="1"/>
  <c r="G55" i="1"/>
  <c r="H55" i="1"/>
  <c r="C49" i="1"/>
  <c r="D49" i="1"/>
  <c r="E49" i="1"/>
  <c r="F49" i="1"/>
  <c r="G49" i="1"/>
  <c r="H49" i="1"/>
  <c r="C44" i="1"/>
  <c r="C56" i="1" s="1"/>
  <c r="D44" i="1"/>
  <c r="D56" i="1" s="1"/>
  <c r="E44" i="1"/>
  <c r="E56" i="1" s="1"/>
  <c r="F44" i="1"/>
  <c r="F56" i="1" s="1"/>
  <c r="G44" i="1"/>
  <c r="G56" i="1" s="1"/>
  <c r="H44" i="1"/>
  <c r="H56" i="1" s="1"/>
  <c r="C28" i="1"/>
  <c r="D28" i="1"/>
  <c r="E28" i="1"/>
  <c r="F28" i="1"/>
  <c r="G28" i="1"/>
  <c r="H28" i="1"/>
  <c r="C17" i="1"/>
  <c r="C31" i="1" s="1"/>
  <c r="D17" i="1"/>
  <c r="D31" i="1" s="1"/>
  <c r="E17" i="1"/>
  <c r="E31" i="1" s="1"/>
  <c r="F17" i="1"/>
  <c r="F31" i="1" s="1"/>
  <c r="G17" i="1"/>
  <c r="G31" i="1" s="1"/>
  <c r="H17" i="1"/>
  <c r="H31" i="1" s="1"/>
  <c r="H58" i="1" s="1"/>
  <c r="C9" i="9" l="1"/>
  <c r="C10" i="9"/>
  <c r="C11" i="9"/>
  <c r="D9" i="9"/>
  <c r="D10" i="9"/>
  <c r="D11" i="9"/>
  <c r="E9" i="9"/>
  <c r="E10" i="9"/>
  <c r="E11" i="9"/>
  <c r="E6" i="44"/>
  <c r="C17" i="33"/>
  <c r="C17" i="44"/>
  <c r="L15" i="8"/>
  <c r="H12" i="33" s="1"/>
  <c r="I12" i="33" s="1"/>
  <c r="L18" i="8"/>
  <c r="H15" i="33" s="1"/>
  <c r="I15" i="33" s="1"/>
  <c r="L17" i="8"/>
  <c r="H14" i="33" s="1"/>
  <c r="I14" i="33" s="1"/>
  <c r="L16" i="8"/>
  <c r="H13" i="33" s="1"/>
  <c r="I13" i="33" s="1"/>
  <c r="L14" i="8"/>
  <c r="H11" i="33" s="1"/>
  <c r="I11" i="33" s="1"/>
  <c r="L13" i="8"/>
  <c r="L11" i="8"/>
  <c r="L9" i="8"/>
  <c r="L19" i="8"/>
  <c r="H10" i="33"/>
  <c r="I10" i="33" s="1"/>
  <c r="D56" i="30"/>
  <c r="F56" i="30" s="1"/>
  <c r="L12" i="8"/>
  <c r="H8" i="33"/>
  <c r="I8" i="33" s="1"/>
  <c r="D59" i="30"/>
  <c r="F59" i="30" s="1"/>
  <c r="H6" i="33"/>
  <c r="I6" i="33" s="1"/>
  <c r="L8" i="8"/>
  <c r="F9" i="9"/>
  <c r="F10" i="9"/>
  <c r="F11" i="9"/>
  <c r="K157" i="5"/>
  <c r="K159" i="5"/>
  <c r="K158" i="5"/>
  <c r="E12" i="34"/>
  <c r="E13" i="34"/>
  <c r="K240" i="5"/>
  <c r="K239" i="5"/>
  <c r="K238" i="5"/>
  <c r="K186" i="5"/>
  <c r="E7" i="36"/>
  <c r="K185" i="5"/>
  <c r="D7" i="36"/>
  <c r="K184" i="5"/>
  <c r="C7" i="36"/>
  <c r="K177" i="5"/>
  <c r="E6" i="36"/>
  <c r="K176" i="5"/>
  <c r="D6" i="36"/>
  <c r="K175" i="5"/>
  <c r="C6" i="36"/>
  <c r="E27" i="16"/>
  <c r="D29" i="16"/>
  <c r="D12" i="20"/>
  <c r="I83" i="14"/>
  <c r="D18" i="16"/>
  <c r="D20" i="16" s="1"/>
  <c r="C6" i="18"/>
  <c r="C8" i="18" s="1"/>
  <c r="C30" i="16"/>
  <c r="M46" i="14"/>
  <c r="K191" i="5"/>
  <c r="L46" i="14"/>
  <c r="K190" i="5"/>
  <c r="J46" i="14"/>
  <c r="K179" i="5"/>
  <c r="I46" i="14"/>
  <c r="K178" i="5"/>
  <c r="G37" i="14"/>
  <c r="E8" i="20"/>
  <c r="C79" i="30"/>
  <c r="D11" i="30"/>
  <c r="G11" i="30" s="1"/>
  <c r="C93" i="14"/>
  <c r="C70" i="14"/>
  <c r="C29" i="14"/>
  <c r="C37" i="14"/>
  <c r="D93" i="14"/>
  <c r="D70" i="14"/>
  <c r="D37" i="14"/>
  <c r="D29" i="14"/>
  <c r="D9" i="14"/>
  <c r="D40" i="14" s="1"/>
  <c r="E93" i="14"/>
  <c r="E9" i="14"/>
  <c r="E40" i="14" s="1"/>
  <c r="E70" i="14"/>
  <c r="E29" i="14"/>
  <c r="E37" i="14"/>
  <c r="F29" i="14"/>
  <c r="F9" i="14"/>
  <c r="F40" i="14" s="1"/>
  <c r="F70" i="14"/>
  <c r="F37" i="14"/>
  <c r="F93" i="14"/>
  <c r="G9" i="14"/>
  <c r="G40" i="14" s="1"/>
  <c r="G70" i="14"/>
  <c r="G29" i="14"/>
  <c r="G93" i="14"/>
  <c r="H25" i="2"/>
  <c r="H27" i="2" s="1"/>
  <c r="H29" i="2" s="1"/>
  <c r="H34" i="2" s="1"/>
  <c r="H38" i="2" s="1"/>
  <c r="H44" i="2" s="1"/>
  <c r="H37" i="14"/>
  <c r="H70" i="14"/>
  <c r="C66" i="29" s="1"/>
  <c r="D66" i="29" s="1"/>
  <c r="C41" i="30"/>
  <c r="H9" i="14"/>
  <c r="H40" i="14" s="1"/>
  <c r="H29" i="14"/>
  <c r="C129" i="5"/>
  <c r="C13" i="17"/>
  <c r="C12" i="17" s="1"/>
  <c r="H93" i="14"/>
  <c r="F6" i="30"/>
  <c r="D60" i="29"/>
  <c r="D67" i="29"/>
  <c r="H94" i="5"/>
  <c r="G94" i="5"/>
  <c r="B100" i="5"/>
  <c r="F92" i="5"/>
  <c r="G8" i="30"/>
  <c r="F8" i="30"/>
  <c r="D16" i="29"/>
  <c r="E16" i="29" s="1"/>
  <c r="D35" i="30"/>
  <c r="E35" i="30" s="1"/>
  <c r="C35" i="30"/>
  <c r="D11" i="29"/>
  <c r="E11" i="29" s="1"/>
  <c r="D32" i="30"/>
  <c r="E32" i="30" s="1"/>
  <c r="C32" i="30"/>
  <c r="F22" i="30"/>
  <c r="E22" i="30"/>
  <c r="C69" i="30"/>
  <c r="D64" i="29"/>
  <c r="C64" i="29"/>
  <c r="D21" i="8"/>
  <c r="K46" i="14"/>
  <c r="J20" i="8"/>
  <c r="L10" i="8"/>
  <c r="H7" i="33" s="1"/>
  <c r="I7" i="33" s="1"/>
  <c r="H75" i="14"/>
  <c r="G75" i="14"/>
  <c r="F75" i="14"/>
  <c r="E75" i="14"/>
  <c r="D15" i="20"/>
  <c r="E14" i="20"/>
  <c r="C18" i="25"/>
  <c r="C16" i="25"/>
  <c r="C19" i="25"/>
  <c r="C17" i="25"/>
  <c r="H15" i="14"/>
  <c r="H46" i="14"/>
  <c r="E8" i="36" s="1"/>
  <c r="H23" i="14"/>
  <c r="G23" i="14"/>
  <c r="F23" i="14"/>
  <c r="E23" i="14"/>
  <c r="D23" i="14"/>
  <c r="G46" i="14"/>
  <c r="D8" i="36" s="1"/>
  <c r="D46" i="14"/>
  <c r="E46" i="14"/>
  <c r="F46" i="14"/>
  <c r="C8" i="36" s="1"/>
  <c r="E74" i="14"/>
  <c r="E62" i="14"/>
  <c r="D63" i="14"/>
  <c r="D66" i="14" s="1"/>
  <c r="F74" i="14"/>
  <c r="D74" i="14"/>
  <c r="H25" i="14"/>
  <c r="H43" i="14"/>
  <c r="G25" i="14"/>
  <c r="G43" i="14"/>
  <c r="F43" i="14"/>
  <c r="F25" i="14"/>
  <c r="E25" i="14"/>
  <c r="E43" i="14"/>
  <c r="D43" i="14"/>
  <c r="D25" i="14"/>
  <c r="F15" i="14"/>
  <c r="G15" i="14"/>
  <c r="D72" i="3"/>
  <c r="D75" i="3" s="1"/>
  <c r="C25" i="2"/>
  <c r="C27" i="2" s="1"/>
  <c r="C29" i="2" s="1"/>
  <c r="C34" i="2" s="1"/>
  <c r="C38" i="2" s="1"/>
  <c r="D25" i="2"/>
  <c r="D27" i="2" s="1"/>
  <c r="D29" i="2" s="1"/>
  <c r="D34" i="2" s="1"/>
  <c r="D38" i="2" s="1"/>
  <c r="E25" i="2"/>
  <c r="E27" i="2" s="1"/>
  <c r="E29" i="2" s="1"/>
  <c r="E34" i="2" s="1"/>
  <c r="E38" i="2" s="1"/>
  <c r="F25" i="2"/>
  <c r="F27" i="2" s="1"/>
  <c r="F29" i="2" s="1"/>
  <c r="F34" i="2" s="1"/>
  <c r="F38" i="2" s="1"/>
  <c r="G25" i="2"/>
  <c r="G27" i="2" s="1"/>
  <c r="G29" i="2" s="1"/>
  <c r="G34" i="2" s="1"/>
  <c r="G38" i="2" s="1"/>
  <c r="G44" i="2" s="1"/>
  <c r="C58" i="1"/>
  <c r="D58" i="1"/>
  <c r="E58" i="1"/>
  <c r="F58" i="1"/>
  <c r="G58" i="1"/>
  <c r="H9" i="7"/>
  <c r="H49" i="14" s="1"/>
  <c r="F9" i="7"/>
  <c r="F49" i="14" s="1"/>
  <c r="C9" i="7"/>
  <c r="C49" i="14" s="1"/>
  <c r="E9" i="7"/>
  <c r="G9" i="7"/>
  <c r="G49" i="14" s="1"/>
  <c r="G13" i="7"/>
  <c r="D9" i="7"/>
  <c r="D49" i="14" s="1"/>
  <c r="D14" i="9" l="1"/>
  <c r="D15" i="9" s="1"/>
  <c r="D16" i="9" s="1"/>
  <c r="D17" i="9" s="1"/>
  <c r="C14" i="9"/>
  <c r="E14" i="9"/>
  <c r="E17" i="44"/>
  <c r="E18" i="44" s="1"/>
  <c r="C18" i="44"/>
  <c r="B24" i="8"/>
  <c r="D43" i="26"/>
  <c r="D41" i="26"/>
  <c r="H9" i="33"/>
  <c r="I9" i="33" s="1"/>
  <c r="D57" i="30"/>
  <c r="F57" i="30" s="1"/>
  <c r="D58" i="30"/>
  <c r="F58" i="30" s="1"/>
  <c r="H5" i="33"/>
  <c r="I5" i="33" s="1"/>
  <c r="F14" i="9"/>
  <c r="E15" i="34"/>
  <c r="E16" i="34" s="1"/>
  <c r="E14" i="34"/>
  <c r="H51" i="14"/>
  <c r="H59" i="14"/>
  <c r="H50" i="14"/>
  <c r="C44" i="30"/>
  <c r="C132" i="5"/>
  <c r="F51" i="14"/>
  <c r="F59" i="14"/>
  <c r="F50" i="14"/>
  <c r="C51" i="14"/>
  <c r="C59" i="14"/>
  <c r="C50" i="14"/>
  <c r="E14" i="7"/>
  <c r="E49" i="14"/>
  <c r="G51" i="14"/>
  <c r="G50" i="14"/>
  <c r="G59" i="14"/>
  <c r="D51" i="14"/>
  <c r="D59" i="14"/>
  <c r="D50" i="14"/>
  <c r="E29" i="16"/>
  <c r="E12" i="20"/>
  <c r="J83" i="14"/>
  <c r="F27" i="16"/>
  <c r="D7" i="20"/>
  <c r="D9" i="20" s="1"/>
  <c r="I21" i="2" s="1"/>
  <c r="I69" i="14"/>
  <c r="F8" i="20"/>
  <c r="H33" i="14"/>
  <c r="K222" i="5" s="1"/>
  <c r="H34" i="14"/>
  <c r="H35" i="14"/>
  <c r="H171" i="5"/>
  <c r="H10" i="14"/>
  <c r="C30" i="14"/>
  <c r="C31" i="14"/>
  <c r="D31" i="14"/>
  <c r="D30" i="14"/>
  <c r="D185" i="5" s="1"/>
  <c r="E30" i="14"/>
  <c r="E185" i="5" s="1"/>
  <c r="E31" i="14"/>
  <c r="F31" i="14"/>
  <c r="K202" i="5" s="1"/>
  <c r="F30" i="14"/>
  <c r="G30" i="14"/>
  <c r="G31" i="14"/>
  <c r="K203" i="5" s="1"/>
  <c r="H30" i="14"/>
  <c r="H31" i="14"/>
  <c r="K204" i="5" s="1"/>
  <c r="E23" i="30"/>
  <c r="E114" i="5"/>
  <c r="F24" i="30"/>
  <c r="E24" i="30"/>
  <c r="C133" i="5"/>
  <c r="E115" i="5"/>
  <c r="C44" i="2"/>
  <c r="C35" i="14"/>
  <c r="C171" i="5"/>
  <c r="D34" i="14"/>
  <c r="D33" i="14"/>
  <c r="D10" i="14"/>
  <c r="D44" i="2"/>
  <c r="D171" i="5"/>
  <c r="D35" i="14"/>
  <c r="E33" i="14"/>
  <c r="E35" i="14"/>
  <c r="E44" i="2"/>
  <c r="E171" i="5"/>
  <c r="E10" i="14"/>
  <c r="E34" i="14"/>
  <c r="F33" i="14"/>
  <c r="K220" i="5" s="1"/>
  <c r="F10" i="14"/>
  <c r="F44" i="2"/>
  <c r="F34" i="14"/>
  <c r="F35" i="14"/>
  <c r="F171" i="5"/>
  <c r="G33" i="14"/>
  <c r="K221" i="5" s="1"/>
  <c r="G35" i="14"/>
  <c r="K194" i="5" s="1"/>
  <c r="G10" i="14"/>
  <c r="G34" i="14"/>
  <c r="G171" i="5"/>
  <c r="G92" i="5"/>
  <c r="H92" i="5"/>
  <c r="D12" i="29"/>
  <c r="E12" i="29" s="1"/>
  <c r="C20" i="8"/>
  <c r="D16" i="33" s="1"/>
  <c r="E21" i="8"/>
  <c r="C9" i="8"/>
  <c r="D6" i="33" s="1"/>
  <c r="C12" i="8"/>
  <c r="C14" i="8"/>
  <c r="D11" i="33" s="1"/>
  <c r="C15" i="8"/>
  <c r="D12" i="33" s="1"/>
  <c r="C16" i="8"/>
  <c r="D13" i="33" s="1"/>
  <c r="C18" i="8"/>
  <c r="D15" i="33" s="1"/>
  <c r="C19" i="8"/>
  <c r="C8" i="8"/>
  <c r="C10" i="8"/>
  <c r="D7" i="33" s="1"/>
  <c r="C11" i="8"/>
  <c r="C13" i="8"/>
  <c r="C17" i="8"/>
  <c r="D14" i="33" s="1"/>
  <c r="L20" i="8"/>
  <c r="H16" i="33" s="1"/>
  <c r="J21" i="8"/>
  <c r="H71" i="14"/>
  <c r="G71" i="14"/>
  <c r="F71" i="14"/>
  <c r="E71" i="14"/>
  <c r="F14" i="20"/>
  <c r="E15" i="20"/>
  <c r="D10" i="18"/>
  <c r="I26" i="14" s="1"/>
  <c r="K214" i="5" s="1"/>
  <c r="F10" i="18"/>
  <c r="K26" i="14" s="1"/>
  <c r="K216" i="5" s="1"/>
  <c r="H10" i="18"/>
  <c r="M26" i="14" s="1"/>
  <c r="K218" i="5" s="1"/>
  <c r="E10" i="18"/>
  <c r="J26" i="14" s="1"/>
  <c r="K215" i="5" s="1"/>
  <c r="G10" i="18"/>
  <c r="L26" i="14" s="1"/>
  <c r="K217" i="5" s="1"/>
  <c r="D9" i="16"/>
  <c r="I14" i="14" s="1"/>
  <c r="I15" i="14" s="1"/>
  <c r="E12" i="16"/>
  <c r="G12" i="16"/>
  <c r="D12" i="16"/>
  <c r="D14" i="16" s="1"/>
  <c r="E9" i="32" s="1"/>
  <c r="H12" i="16"/>
  <c r="F12" i="16"/>
  <c r="F10" i="19"/>
  <c r="K43" i="14" s="1"/>
  <c r="D10" i="19"/>
  <c r="I43" i="14" s="1"/>
  <c r="D133" i="5" s="1"/>
  <c r="E10" i="19"/>
  <c r="J43" i="14" s="1"/>
  <c r="E133" i="5" s="1"/>
  <c r="G10" i="19"/>
  <c r="L43" i="14" s="1"/>
  <c r="H10" i="19"/>
  <c r="M43" i="14" s="1"/>
  <c r="E7" i="17"/>
  <c r="H7" i="17"/>
  <c r="D7" i="17"/>
  <c r="F7" i="17"/>
  <c r="G7" i="17"/>
  <c r="F62" i="14"/>
  <c r="E63" i="14"/>
  <c r="E66" i="14" s="1"/>
  <c r="H13" i="7"/>
  <c r="H14" i="7"/>
  <c r="H12" i="7"/>
  <c r="F14" i="7"/>
  <c r="F12" i="7"/>
  <c r="F13" i="7"/>
  <c r="G18" i="7"/>
  <c r="G19" i="7" s="1"/>
  <c r="G26" i="14" s="1"/>
  <c r="C14" i="7"/>
  <c r="C12" i="7"/>
  <c r="C13" i="7"/>
  <c r="D18" i="7"/>
  <c r="D19" i="7" s="1"/>
  <c r="D26" i="14" s="1"/>
  <c r="D27" i="14" s="1"/>
  <c r="E12" i="7"/>
  <c r="E13" i="7"/>
  <c r="F18" i="7"/>
  <c r="F19" i="7" s="1"/>
  <c r="F26" i="14" s="1"/>
  <c r="G14" i="7"/>
  <c r="G12" i="7"/>
  <c r="H18" i="7"/>
  <c r="H19" i="7" s="1"/>
  <c r="H26" i="14" s="1"/>
  <c r="D13" i="7"/>
  <c r="D12" i="7"/>
  <c r="E18" i="7"/>
  <c r="E19" i="7" s="1"/>
  <c r="E26" i="14" s="1"/>
  <c r="E27" i="14" s="1"/>
  <c r="D14" i="7"/>
  <c r="C15" i="9" l="1"/>
  <c r="C16" i="9" s="1"/>
  <c r="E15" i="9"/>
  <c r="E16" i="9" s="1"/>
  <c r="D18" i="44"/>
  <c r="C43" i="26"/>
  <c r="D7" i="26" s="1"/>
  <c r="E43" i="26"/>
  <c r="F43" i="26"/>
  <c r="D42" i="26"/>
  <c r="C41" i="26"/>
  <c r="E41" i="26"/>
  <c r="F41" i="26"/>
  <c r="F15" i="9"/>
  <c r="F16" i="9" s="1"/>
  <c r="F17" i="9" s="1"/>
  <c r="F20" i="9" s="1"/>
  <c r="F22" i="9" s="1"/>
  <c r="C57" i="30"/>
  <c r="D9" i="33"/>
  <c r="C58" i="30"/>
  <c r="D5" i="33"/>
  <c r="C59" i="30"/>
  <c r="D8" i="33"/>
  <c r="C56" i="30"/>
  <c r="D10" i="33"/>
  <c r="E59" i="14"/>
  <c r="E51" i="14"/>
  <c r="E50" i="14"/>
  <c r="E7" i="20"/>
  <c r="E9" i="20" s="1"/>
  <c r="J21" i="2" s="1"/>
  <c r="J69" i="14"/>
  <c r="F29" i="16"/>
  <c r="F12" i="20"/>
  <c r="F15" i="20" s="1"/>
  <c r="G27" i="16"/>
  <c r="K83" i="14"/>
  <c r="G8" i="20"/>
  <c r="C43" i="30"/>
  <c r="D97" i="5"/>
  <c r="H97" i="5" s="1"/>
  <c r="C77" i="30"/>
  <c r="D7" i="30"/>
  <c r="G7" i="30" s="1"/>
  <c r="C131" i="5"/>
  <c r="B85" i="5"/>
  <c r="C130" i="5"/>
  <c r="K195" i="5"/>
  <c r="C42" i="30"/>
  <c r="C71" i="30"/>
  <c r="B103" i="5"/>
  <c r="D9" i="30"/>
  <c r="G9" i="30" s="1"/>
  <c r="C36" i="30"/>
  <c r="D10" i="29"/>
  <c r="E10" i="29" s="1"/>
  <c r="E116" i="5"/>
  <c r="D95" i="5"/>
  <c r="H95" i="5" s="1"/>
  <c r="C73" i="30"/>
  <c r="D36" i="30"/>
  <c r="E36" i="30" s="1"/>
  <c r="F133" i="5"/>
  <c r="G27" i="14"/>
  <c r="K212" i="5"/>
  <c r="F27" i="14"/>
  <c r="K211" i="5"/>
  <c r="H27" i="14"/>
  <c r="K213" i="5"/>
  <c r="E117" i="5"/>
  <c r="D19" i="16"/>
  <c r="I12" i="14"/>
  <c r="C21" i="8"/>
  <c r="K21" i="8"/>
  <c r="L21" i="8" s="1"/>
  <c r="I21" i="8"/>
  <c r="D21" i="16"/>
  <c r="I28" i="3"/>
  <c r="G14" i="20"/>
  <c r="E9" i="16"/>
  <c r="J14" i="14" s="1"/>
  <c r="J15" i="14" s="1"/>
  <c r="E13" i="16"/>
  <c r="E14" i="16" s="1"/>
  <c r="J12" i="14" s="1"/>
  <c r="G62" i="14"/>
  <c r="F63" i="14"/>
  <c r="F66" i="14" s="1"/>
  <c r="C17" i="9" l="1"/>
  <c r="D11" i="26"/>
  <c r="E17" i="9"/>
  <c r="B12" i="26"/>
  <c r="C23" i="44"/>
  <c r="C24" i="44" s="1"/>
  <c r="C26" i="44" s="1"/>
  <c r="F23" i="44"/>
  <c r="G23" i="44"/>
  <c r="B67" i="44"/>
  <c r="B37" i="26"/>
  <c r="E23" i="44"/>
  <c r="H23" i="44"/>
  <c r="D23" i="44"/>
  <c r="B27" i="8"/>
  <c r="E42" i="26"/>
  <c r="C42" i="26"/>
  <c r="B8" i="26" s="1"/>
  <c r="F42" i="26"/>
  <c r="D5" i="26"/>
  <c r="D17" i="33"/>
  <c r="F7" i="20"/>
  <c r="F9" i="20" s="1"/>
  <c r="K21" i="2" s="1"/>
  <c r="K69" i="14"/>
  <c r="G29" i="16"/>
  <c r="L83" i="14"/>
  <c r="H27" i="16"/>
  <c r="G12" i="20"/>
  <c r="H8" i="20"/>
  <c r="D30" i="16"/>
  <c r="E92" i="5"/>
  <c r="E6" i="30"/>
  <c r="G6" i="30" s="1"/>
  <c r="I73" i="14"/>
  <c r="I13" i="14"/>
  <c r="J73" i="14"/>
  <c r="J13" i="14"/>
  <c r="H55" i="14"/>
  <c r="D6" i="17"/>
  <c r="D22" i="16"/>
  <c r="I8" i="14" s="1"/>
  <c r="E18" i="16"/>
  <c r="E20" i="16" s="1"/>
  <c r="D6" i="18"/>
  <c r="D23" i="16"/>
  <c r="H14" i="20"/>
  <c r="G15" i="20"/>
  <c r="E19" i="16"/>
  <c r="E22" i="20"/>
  <c r="E23" i="20" s="1"/>
  <c r="F13" i="16"/>
  <c r="F14" i="16" s="1"/>
  <c r="K12" i="14" s="1"/>
  <c r="F9" i="16"/>
  <c r="K14" i="14" s="1"/>
  <c r="K15" i="14" s="1"/>
  <c r="G63" i="14"/>
  <c r="G66" i="14" s="1"/>
  <c r="H62" i="14"/>
  <c r="H63" i="14" s="1"/>
  <c r="H66" i="14" s="1"/>
  <c r="C81" i="30" s="1"/>
  <c r="C41" i="44" l="1"/>
  <c r="C33" i="44"/>
  <c r="C32" i="44"/>
  <c r="C44" i="44" s="1"/>
  <c r="D6" i="26"/>
  <c r="B33" i="26"/>
  <c r="G7" i="20"/>
  <c r="G9" i="20" s="1"/>
  <c r="L21" i="2" s="1"/>
  <c r="L69" i="14"/>
  <c r="H29" i="16"/>
  <c r="H12" i="20"/>
  <c r="H15" i="20" s="1"/>
  <c r="M83" i="14"/>
  <c r="K13" i="14"/>
  <c r="K73" i="14"/>
  <c r="J28" i="3"/>
  <c r="D9" i="19"/>
  <c r="D12" i="19" s="1"/>
  <c r="D12" i="17"/>
  <c r="D10" i="17"/>
  <c r="I10" i="2" s="1"/>
  <c r="I36" i="14" s="1"/>
  <c r="D8" i="17"/>
  <c r="I8" i="2" s="1"/>
  <c r="D26" i="20"/>
  <c r="D27" i="20" s="1"/>
  <c r="E21" i="16"/>
  <c r="F19" i="16"/>
  <c r="F22" i="20"/>
  <c r="F23" i="20" s="1"/>
  <c r="G13" i="16"/>
  <c r="G14" i="16" s="1"/>
  <c r="L12" i="14" s="1"/>
  <c r="G9" i="16"/>
  <c r="L14" i="14" s="1"/>
  <c r="L15" i="14" s="1"/>
  <c r="C43" i="44" l="1"/>
  <c r="C59" i="44"/>
  <c r="C102" i="44"/>
  <c r="H7" i="20"/>
  <c r="H9" i="20" s="1"/>
  <c r="M21" i="2" s="1"/>
  <c r="M69" i="14"/>
  <c r="I13" i="2"/>
  <c r="L13" i="14"/>
  <c r="L73" i="14"/>
  <c r="I14" i="1"/>
  <c r="I20" i="2"/>
  <c r="I14" i="2"/>
  <c r="D13" i="17"/>
  <c r="D33" i="20"/>
  <c r="I23" i="2"/>
  <c r="I28" i="14" s="1"/>
  <c r="E6" i="18"/>
  <c r="E30" i="16"/>
  <c r="F18" i="16"/>
  <c r="E23" i="16"/>
  <c r="E22" i="16"/>
  <c r="J8" i="14" s="1"/>
  <c r="E6" i="17"/>
  <c r="G22" i="20"/>
  <c r="G23" i="20" s="1"/>
  <c r="G19" i="16"/>
  <c r="H13" i="16"/>
  <c r="H14" i="16" s="1"/>
  <c r="M12" i="14" s="1"/>
  <c r="H9" i="16"/>
  <c r="M14" i="14" s="1"/>
  <c r="M15" i="14" s="1"/>
  <c r="I95" i="14" l="1"/>
  <c r="I9" i="1"/>
  <c r="I15" i="2"/>
  <c r="E25" i="44" s="1"/>
  <c r="F20" i="16"/>
  <c r="I24" i="14"/>
  <c r="I25" i="14" s="1"/>
  <c r="I27" i="14" s="1"/>
  <c r="I75" i="14"/>
  <c r="I37" i="14"/>
  <c r="I74" i="14"/>
  <c r="M13" i="14"/>
  <c r="M73" i="14"/>
  <c r="I10" i="1"/>
  <c r="I15" i="1"/>
  <c r="I20" i="1"/>
  <c r="I29" i="1"/>
  <c r="I16" i="1"/>
  <c r="I47" i="1"/>
  <c r="I48" i="1"/>
  <c r="I34" i="1"/>
  <c r="I11" i="1"/>
  <c r="I12" i="1"/>
  <c r="I21" i="1"/>
  <c r="I27" i="1"/>
  <c r="I46" i="1"/>
  <c r="I35" i="3"/>
  <c r="I19" i="1"/>
  <c r="I35" i="1"/>
  <c r="I36" i="1"/>
  <c r="I42" i="1"/>
  <c r="I43" i="1"/>
  <c r="I10" i="3"/>
  <c r="E26" i="20"/>
  <c r="E27" i="20" s="1"/>
  <c r="E9" i="19"/>
  <c r="E12" i="19" s="1"/>
  <c r="E12" i="17"/>
  <c r="J14" i="2" s="1"/>
  <c r="E10" i="17"/>
  <c r="J10" i="2" s="1"/>
  <c r="J36" i="14" s="1"/>
  <c r="E8" i="17"/>
  <c r="H22" i="20"/>
  <c r="H23" i="20" s="1"/>
  <c r="H19" i="16"/>
  <c r="K28" i="3" l="1"/>
  <c r="F21" i="16"/>
  <c r="D22" i="44"/>
  <c r="K160" i="5"/>
  <c r="I49" i="1"/>
  <c r="I9" i="14"/>
  <c r="I40" i="14" s="1"/>
  <c r="I93" i="14"/>
  <c r="I70" i="14"/>
  <c r="D129" i="5"/>
  <c r="D41" i="30"/>
  <c r="E41" i="30" s="1"/>
  <c r="I29" i="3"/>
  <c r="I32" i="2"/>
  <c r="I28" i="1"/>
  <c r="J20" i="2"/>
  <c r="J10" i="3" s="1"/>
  <c r="J14" i="1"/>
  <c r="J8" i="2"/>
  <c r="E13" i="17"/>
  <c r="E33" i="20"/>
  <c r="J23" i="2"/>
  <c r="J28" i="14" s="1"/>
  <c r="F6" i="18" l="1"/>
  <c r="F22" i="16"/>
  <c r="F23" i="16"/>
  <c r="F6" i="17"/>
  <c r="F9" i="19" s="1"/>
  <c r="F12" i="19" s="1"/>
  <c r="F30" i="16"/>
  <c r="G18" i="16"/>
  <c r="D24" i="44"/>
  <c r="D26" i="44" s="1"/>
  <c r="D53" i="44"/>
  <c r="J95" i="14"/>
  <c r="J9" i="1"/>
  <c r="K8" i="14"/>
  <c r="F26" i="20"/>
  <c r="F27" i="20" s="1"/>
  <c r="F10" i="17"/>
  <c r="K10" i="2" s="1"/>
  <c r="K36" i="14" s="1"/>
  <c r="F12" i="17"/>
  <c r="K14" i="2" s="1"/>
  <c r="F8" i="17"/>
  <c r="J75" i="14"/>
  <c r="J24" i="14"/>
  <c r="J25" i="14" s="1"/>
  <c r="J27" i="14" s="1"/>
  <c r="J13" i="2"/>
  <c r="J15" i="2" s="1"/>
  <c r="J74" i="14"/>
  <c r="J19" i="1"/>
  <c r="J11" i="1"/>
  <c r="J15" i="1"/>
  <c r="J42" i="1"/>
  <c r="J35" i="1"/>
  <c r="J21" i="1"/>
  <c r="J27" i="1"/>
  <c r="J36" i="1"/>
  <c r="J10" i="1"/>
  <c r="J20" i="1"/>
  <c r="J32" i="2" s="1"/>
  <c r="J16" i="1"/>
  <c r="J43" i="1"/>
  <c r="J34" i="1"/>
  <c r="J48" i="1"/>
  <c r="J47" i="1"/>
  <c r="J46" i="1"/>
  <c r="J29" i="1"/>
  <c r="J12" i="1"/>
  <c r="J35" i="3"/>
  <c r="K20" i="2" l="1"/>
  <c r="K10" i="3" s="1"/>
  <c r="K14" i="1"/>
  <c r="G20" i="16"/>
  <c r="C38" i="25"/>
  <c r="D41" i="44"/>
  <c r="E22" i="44"/>
  <c r="K161" i="5"/>
  <c r="E129" i="5"/>
  <c r="F129" i="5" s="1"/>
  <c r="F25" i="44"/>
  <c r="K95" i="14"/>
  <c r="K9" i="1"/>
  <c r="F33" i="20"/>
  <c r="K23" i="2"/>
  <c r="F13" i="17"/>
  <c r="K8" i="2"/>
  <c r="J37" i="14"/>
  <c r="J9" i="14"/>
  <c r="J40" i="14" s="1"/>
  <c r="J70" i="14"/>
  <c r="J93" i="14"/>
  <c r="J49" i="1"/>
  <c r="K11" i="1"/>
  <c r="K15" i="1"/>
  <c r="K19" i="1"/>
  <c r="K21" i="1"/>
  <c r="K27" i="1"/>
  <c r="K35" i="3"/>
  <c r="K16" i="1"/>
  <c r="K42" i="1"/>
  <c r="K46" i="1"/>
  <c r="K12" i="1"/>
  <c r="K29" i="1"/>
  <c r="K35" i="1"/>
  <c r="J29" i="3"/>
  <c r="J28" i="1"/>
  <c r="K10" i="1" l="1"/>
  <c r="K47" i="1"/>
  <c r="L28" i="3"/>
  <c r="G21" i="16"/>
  <c r="K24" i="14"/>
  <c r="K25" i="14" s="1"/>
  <c r="K27" i="14" s="1"/>
  <c r="K75" i="14"/>
  <c r="K34" i="1"/>
  <c r="K36" i="1"/>
  <c r="K48" i="1"/>
  <c r="K49" i="1" s="1"/>
  <c r="K20" i="1"/>
  <c r="K43" i="1"/>
  <c r="G6" i="17"/>
  <c r="G22" i="16"/>
  <c r="G6" i="18"/>
  <c r="H18" i="16"/>
  <c r="G23" i="16"/>
  <c r="G30" i="16"/>
  <c r="I55" i="1"/>
  <c r="D47" i="44"/>
  <c r="E24" i="44"/>
  <c r="E26" i="44" s="1"/>
  <c r="E41" i="44" s="1"/>
  <c r="E53" i="44"/>
  <c r="F22" i="44"/>
  <c r="K162" i="5"/>
  <c r="K28" i="14"/>
  <c r="K74" i="14" s="1"/>
  <c r="K13" i="2"/>
  <c r="K15" i="2" s="1"/>
  <c r="G25" i="44" s="1"/>
  <c r="K32" i="2" l="1"/>
  <c r="K29" i="3"/>
  <c r="K28" i="1"/>
  <c r="G8" i="17"/>
  <c r="G12" i="17"/>
  <c r="L14" i="2" s="1"/>
  <c r="G10" i="17"/>
  <c r="L10" i="2" s="1"/>
  <c r="L36" i="14" s="1"/>
  <c r="G9" i="19"/>
  <c r="G12" i="19" s="1"/>
  <c r="L8" i="14"/>
  <c r="G26" i="20"/>
  <c r="G27" i="20" s="1"/>
  <c r="H20" i="16"/>
  <c r="M28" i="3" s="1"/>
  <c r="H21" i="16"/>
  <c r="I94" i="14"/>
  <c r="K232" i="5" s="1"/>
  <c r="I32" i="14"/>
  <c r="I11" i="14"/>
  <c r="D28" i="44"/>
  <c r="D33" i="44" s="1"/>
  <c r="E47" i="44"/>
  <c r="J55" i="1"/>
  <c r="J32" i="14" s="1"/>
  <c r="F24" i="44"/>
  <c r="F26" i="44" s="1"/>
  <c r="F41" i="44" s="1"/>
  <c r="F53" i="44"/>
  <c r="K37" i="14"/>
  <c r="K93" i="14"/>
  <c r="K70" i="14"/>
  <c r="K9" i="14"/>
  <c r="K40" i="14" s="1"/>
  <c r="L8" i="2" l="1"/>
  <c r="G13" i="17"/>
  <c r="L14" i="1"/>
  <c r="L20" i="2"/>
  <c r="L10" i="3" s="1"/>
  <c r="L23" i="2"/>
  <c r="L28" i="14" s="1"/>
  <c r="G33" i="20"/>
  <c r="H30" i="16"/>
  <c r="H6" i="17"/>
  <c r="H23" i="16"/>
  <c r="H22" i="16"/>
  <c r="H6" i="18"/>
  <c r="J94" i="14"/>
  <c r="K233" i="5" s="1"/>
  <c r="J11" i="14"/>
  <c r="E28" i="44"/>
  <c r="E33" i="44" s="1"/>
  <c r="F47" i="44"/>
  <c r="K55" i="1"/>
  <c r="K32" i="14" s="1"/>
  <c r="L95" i="14"/>
  <c r="L9" i="1"/>
  <c r="L13" i="2"/>
  <c r="L15" i="2" s="1"/>
  <c r="H25" i="44" s="1"/>
  <c r="L75" i="14"/>
  <c r="L24" i="14"/>
  <c r="L25" i="14" s="1"/>
  <c r="L27" i="14" s="1"/>
  <c r="L74" i="14"/>
  <c r="H9" i="19"/>
  <c r="H12" i="19" s="1"/>
  <c r="H8" i="17"/>
  <c r="H10" i="17"/>
  <c r="M10" i="2" s="1"/>
  <c r="M36" i="14" s="1"/>
  <c r="H12" i="17"/>
  <c r="M14" i="2" s="1"/>
  <c r="L27" i="1"/>
  <c r="L21" i="1"/>
  <c r="L19" i="1"/>
  <c r="L15" i="1"/>
  <c r="L11" i="1"/>
  <c r="L34" i="1"/>
  <c r="L35" i="3"/>
  <c r="L20" i="1" l="1"/>
  <c r="L32" i="2" s="1"/>
  <c r="L16" i="1"/>
  <c r="L10" i="1"/>
  <c r="L29" i="1"/>
  <c r="L12" i="1"/>
  <c r="L46" i="1"/>
  <c r="L47" i="1"/>
  <c r="L35" i="1"/>
  <c r="L42" i="1"/>
  <c r="L43" i="1"/>
  <c r="L48" i="1"/>
  <c r="L36" i="1"/>
  <c r="M8" i="14"/>
  <c r="H26" i="20"/>
  <c r="H27" i="20" s="1"/>
  <c r="K94" i="14"/>
  <c r="K234" i="5" s="1"/>
  <c r="K11" i="14"/>
  <c r="F28" i="44"/>
  <c r="F33" i="44" s="1"/>
  <c r="G22" i="44"/>
  <c r="K163" i="5"/>
  <c r="L37" i="14"/>
  <c r="L93" i="14"/>
  <c r="L70" i="14"/>
  <c r="L9" i="14"/>
  <c r="L40" i="14" s="1"/>
  <c r="M14" i="1"/>
  <c r="M20" i="2"/>
  <c r="M8" i="2"/>
  <c r="H13" i="17"/>
  <c r="L29" i="3"/>
  <c r="L49" i="1"/>
  <c r="L28" i="1"/>
  <c r="M23" i="2"/>
  <c r="M28" i="14" s="1"/>
  <c r="H33" i="20"/>
  <c r="G24" i="44" l="1"/>
  <c r="G26" i="44" s="1"/>
  <c r="G41" i="44" s="1"/>
  <c r="G53" i="44"/>
  <c r="M95" i="14"/>
  <c r="H22" i="44" s="1"/>
  <c r="M9" i="1"/>
  <c r="K164" i="5"/>
  <c r="B15" i="5"/>
  <c r="M20" i="1"/>
  <c r="M32" i="2" s="1"/>
  <c r="M34" i="1"/>
  <c r="M10" i="1"/>
  <c r="M36" i="1"/>
  <c r="M15" i="1"/>
  <c r="M27" i="1"/>
  <c r="M35" i="3"/>
  <c r="M12" i="1"/>
  <c r="M46" i="1"/>
  <c r="M16" i="1"/>
  <c r="M35" i="1"/>
  <c r="M19" i="1"/>
  <c r="M21" i="1"/>
  <c r="M43" i="1"/>
  <c r="M29" i="1"/>
  <c r="M42" i="1"/>
  <c r="M48" i="1"/>
  <c r="M47" i="1"/>
  <c r="M11" i="1"/>
  <c r="M75" i="14"/>
  <c r="M24" i="14"/>
  <c r="M25" i="14" s="1"/>
  <c r="M27" i="14" s="1"/>
  <c r="M10" i="3"/>
  <c r="M13" i="2"/>
  <c r="M15" i="2" s="1"/>
  <c r="M74" i="14"/>
  <c r="G47" i="44" l="1"/>
  <c r="L55" i="1"/>
  <c r="H24" i="44"/>
  <c r="H53" i="44"/>
  <c r="C42" i="25" s="1"/>
  <c r="M28" i="1"/>
  <c r="M49" i="1"/>
  <c r="M29" i="3"/>
  <c r="M37" i="14"/>
  <c r="M70" i="14"/>
  <c r="M93" i="14"/>
  <c r="M9" i="14"/>
  <c r="M40" i="14" s="1"/>
  <c r="H26" i="44" l="1"/>
  <c r="D38" i="44" s="1"/>
  <c r="C100" i="44"/>
  <c r="L32" i="14"/>
  <c r="L11" i="14"/>
  <c r="L94" i="14"/>
  <c r="K235" i="5" s="1"/>
  <c r="G28" i="44"/>
  <c r="G33" i="44" s="1"/>
  <c r="D38" i="25"/>
  <c r="H41" i="44"/>
  <c r="C96" i="44" s="1"/>
  <c r="C98" i="44" s="1"/>
  <c r="C103" i="44" s="1"/>
  <c r="H47" i="44" l="1"/>
  <c r="M55" i="1"/>
  <c r="M94" i="14" l="1"/>
  <c r="K236" i="5" s="1"/>
  <c r="M11" i="14"/>
  <c r="M32" i="14"/>
  <c r="H28" i="44"/>
  <c r="I52" i="1"/>
  <c r="I63" i="14" s="1"/>
  <c r="I66" i="14" s="1"/>
  <c r="J52" i="1"/>
  <c r="J63" i="14" s="1"/>
  <c r="J66" i="14" s="1"/>
  <c r="H33" i="44" l="1"/>
  <c r="I53" i="1"/>
  <c r="I75" i="3"/>
  <c r="J73" i="3" s="1"/>
  <c r="I17" i="1"/>
  <c r="I31" i="1" s="1"/>
  <c r="J53" i="1"/>
  <c r="J75" i="3"/>
  <c r="K73" i="3" s="1"/>
  <c r="J17" i="1"/>
  <c r="J31" i="1" s="1"/>
  <c r="K52" i="1"/>
  <c r="K63" i="14" s="1"/>
  <c r="K66" i="14" s="1"/>
  <c r="I58" i="14" l="1"/>
  <c r="I41" i="1"/>
  <c r="D29" i="44" s="1"/>
  <c r="D30" i="44" s="1"/>
  <c r="I40" i="1"/>
  <c r="I39" i="1"/>
  <c r="J41" i="1"/>
  <c r="E29" i="44" s="1"/>
  <c r="E30" i="44" s="1"/>
  <c r="J40" i="1"/>
  <c r="J39" i="1"/>
  <c r="J22" i="14"/>
  <c r="I7" i="14"/>
  <c r="I22" i="14"/>
  <c r="I52" i="14"/>
  <c r="J58" i="14"/>
  <c r="J7" i="14"/>
  <c r="J52" i="14"/>
  <c r="K53" i="1"/>
  <c r="K75" i="3"/>
  <c r="K17" i="1"/>
  <c r="K31" i="1" s="1"/>
  <c r="D32" i="44" l="1"/>
  <c r="D42" i="44"/>
  <c r="D43" i="44" s="1"/>
  <c r="I44" i="1"/>
  <c r="I56" i="1" s="1"/>
  <c r="I58" i="1" s="1"/>
  <c r="I61" i="1"/>
  <c r="I49" i="14"/>
  <c r="I60" i="3"/>
  <c r="D8" i="18"/>
  <c r="E32" i="44"/>
  <c r="E42" i="44"/>
  <c r="E43" i="44" s="1"/>
  <c r="J44" i="1"/>
  <c r="J56" i="1" s="1"/>
  <c r="J58" i="1" s="1"/>
  <c r="J61" i="1"/>
  <c r="J60" i="3"/>
  <c r="J49" i="14"/>
  <c r="E8" i="18"/>
  <c r="K58" i="14"/>
  <c r="K41" i="1"/>
  <c r="F29" i="44" s="1"/>
  <c r="F30" i="44" s="1"/>
  <c r="K40" i="1"/>
  <c r="K39" i="1"/>
  <c r="K22" i="14"/>
  <c r="K7" i="14"/>
  <c r="K52" i="14"/>
  <c r="L73" i="3"/>
  <c r="L52" i="1"/>
  <c r="L63" i="14" s="1"/>
  <c r="L66" i="14" s="1"/>
  <c r="D44" i="44" l="1"/>
  <c r="I53" i="14"/>
  <c r="K241" i="5" s="1"/>
  <c r="C37" i="25"/>
  <c r="I51" i="14"/>
  <c r="I59" i="14"/>
  <c r="I50" i="14"/>
  <c r="D132" i="5"/>
  <c r="D44" i="30"/>
  <c r="E44" i="30" s="1"/>
  <c r="E9" i="18"/>
  <c r="E11" i="18" s="1"/>
  <c r="J17" i="2" s="1"/>
  <c r="D9" i="18"/>
  <c r="D11" i="18" s="1"/>
  <c r="I17" i="2" s="1"/>
  <c r="D7" i="18"/>
  <c r="D12" i="18"/>
  <c r="E44" i="44"/>
  <c r="J53" i="14"/>
  <c r="K242" i="5" s="1"/>
  <c r="J51" i="14"/>
  <c r="J59" i="14"/>
  <c r="J50" i="14"/>
  <c r="E132" i="5"/>
  <c r="F132" i="5" s="1"/>
  <c r="E7" i="18"/>
  <c r="E12" i="18"/>
  <c r="F32" i="44"/>
  <c r="F42" i="44"/>
  <c r="F43" i="44" s="1"/>
  <c r="K44" i="1"/>
  <c r="K56" i="1" s="1"/>
  <c r="K58" i="1" s="1"/>
  <c r="K61" i="1"/>
  <c r="K60" i="3"/>
  <c r="K49" i="14"/>
  <c r="F8" i="18"/>
  <c r="F9" i="18" s="1"/>
  <c r="F11" i="18" s="1"/>
  <c r="K17" i="2" s="1"/>
  <c r="L53" i="1"/>
  <c r="L75" i="3"/>
  <c r="M73" i="3" s="1"/>
  <c r="L17" i="1"/>
  <c r="L31" i="1" s="1"/>
  <c r="M52" i="1"/>
  <c r="M63" i="14" s="1"/>
  <c r="M66" i="14" s="1"/>
  <c r="J29" i="14" l="1"/>
  <c r="J24" i="2"/>
  <c r="J25" i="2" s="1"/>
  <c r="J27" i="2" s="1"/>
  <c r="J29" i="2" s="1"/>
  <c r="J21" i="14"/>
  <c r="I24" i="2"/>
  <c r="I25" i="2" s="1"/>
  <c r="I27" i="2" s="1"/>
  <c r="I29" i="2" s="1"/>
  <c r="I29" i="14"/>
  <c r="I21" i="14"/>
  <c r="K29" i="14"/>
  <c r="K21" i="14"/>
  <c r="K24" i="2"/>
  <c r="K25" i="2" s="1"/>
  <c r="K27" i="2" s="1"/>
  <c r="K29" i="2" s="1"/>
  <c r="K53" i="14"/>
  <c r="K243" i="5" s="1"/>
  <c r="F44" i="44"/>
  <c r="K51" i="14"/>
  <c r="K59" i="14"/>
  <c r="K50" i="14"/>
  <c r="F7" i="18"/>
  <c r="F12" i="18"/>
  <c r="L41" i="1"/>
  <c r="G29" i="44" s="1"/>
  <c r="G30" i="44" s="1"/>
  <c r="L40" i="1"/>
  <c r="L39" i="1"/>
  <c r="L58" i="14"/>
  <c r="L7" i="14"/>
  <c r="L52" i="14"/>
  <c r="L22" i="14"/>
  <c r="M53" i="1"/>
  <c r="M75" i="3"/>
  <c r="M17" i="1"/>
  <c r="M31" i="1" s="1"/>
  <c r="J31" i="14" l="1"/>
  <c r="K206" i="5" s="1"/>
  <c r="J30" i="14"/>
  <c r="J33" i="2"/>
  <c r="J34" i="2" s="1"/>
  <c r="J38" i="2" s="1"/>
  <c r="J8" i="3"/>
  <c r="J25" i="3" s="1"/>
  <c r="J38" i="3" s="1"/>
  <c r="J23" i="14"/>
  <c r="K170" i="5"/>
  <c r="I8" i="3"/>
  <c r="I25" i="3" s="1"/>
  <c r="I38" i="3" s="1"/>
  <c r="I33" i="2"/>
  <c r="I34" i="2" s="1"/>
  <c r="I38" i="2" s="1"/>
  <c r="I30" i="14"/>
  <c r="I31" i="14"/>
  <c r="K205" i="5" s="1"/>
  <c r="I23" i="14"/>
  <c r="K169" i="5"/>
  <c r="K30" i="14"/>
  <c r="K31" i="14"/>
  <c r="K207" i="5" s="1"/>
  <c r="K23" i="14"/>
  <c r="K171" i="5"/>
  <c r="K33" i="2"/>
  <c r="K34" i="2" s="1"/>
  <c r="K38" i="2" s="1"/>
  <c r="K8" i="3"/>
  <c r="K25" i="3" s="1"/>
  <c r="K38" i="3" s="1"/>
  <c r="G42" i="44"/>
  <c r="G43" i="44" s="1"/>
  <c r="G32" i="44"/>
  <c r="L44" i="1"/>
  <c r="L56" i="1" s="1"/>
  <c r="L58" i="1" s="1"/>
  <c r="L61" i="1"/>
  <c r="L49" i="14"/>
  <c r="L60" i="3"/>
  <c r="G8" i="18"/>
  <c r="M41" i="1"/>
  <c r="H29" i="44" s="1"/>
  <c r="H30" i="44" s="1"/>
  <c r="M40" i="1"/>
  <c r="M39" i="1"/>
  <c r="M22" i="14"/>
  <c r="M58" i="14"/>
  <c r="M7" i="14"/>
  <c r="M52" i="14"/>
  <c r="J33" i="14" l="1"/>
  <c r="K224" i="5" s="1"/>
  <c r="J55" i="2"/>
  <c r="J60" i="1"/>
  <c r="J45" i="2"/>
  <c r="J44" i="2"/>
  <c r="J49" i="2" s="1"/>
  <c r="J34" i="14"/>
  <c r="E131" i="5" s="1"/>
  <c r="F131" i="5" s="1"/>
  <c r="J35" i="14"/>
  <c r="J10" i="14"/>
  <c r="J39" i="3"/>
  <c r="J40" i="3" s="1"/>
  <c r="J30" i="2"/>
  <c r="I33" i="14"/>
  <c r="I55" i="2"/>
  <c r="I45" i="2"/>
  <c r="I44" i="2"/>
  <c r="I49" i="2" s="1"/>
  <c r="I10" i="14"/>
  <c r="I35" i="14"/>
  <c r="I34" i="14"/>
  <c r="I60" i="1"/>
  <c r="I39" i="3"/>
  <c r="I40" i="3" s="1"/>
  <c r="I30" i="2"/>
  <c r="E9" i="30"/>
  <c r="F9" i="30" s="1"/>
  <c r="E95" i="5"/>
  <c r="G95" i="5" s="1"/>
  <c r="K33" i="14"/>
  <c r="K55" i="2"/>
  <c r="K60" i="1"/>
  <c r="K45" i="2"/>
  <c r="K44" i="2"/>
  <c r="K49" i="2" s="1"/>
  <c r="K34" i="14"/>
  <c r="K35" i="14"/>
  <c r="K10" i="14"/>
  <c r="K39" i="3"/>
  <c r="K40" i="3" s="1"/>
  <c r="K30" i="2"/>
  <c r="G44" i="44"/>
  <c r="L53" i="14"/>
  <c r="K244" i="5" s="1"/>
  <c r="L51" i="14"/>
  <c r="L59" i="14"/>
  <c r="L50" i="14"/>
  <c r="G9" i="18"/>
  <c r="G11" i="18" s="1"/>
  <c r="L17" i="2" s="1"/>
  <c r="G7" i="18"/>
  <c r="G12" i="18"/>
  <c r="H32" i="44"/>
  <c r="H42" i="44"/>
  <c r="H43" i="44" s="1"/>
  <c r="M44" i="1"/>
  <c r="M56" i="1" s="1"/>
  <c r="M58" i="1" s="1"/>
  <c r="M61" i="1"/>
  <c r="D26" i="26" s="1"/>
  <c r="M60" i="3"/>
  <c r="M49" i="14"/>
  <c r="H8" i="18"/>
  <c r="H9" i="18" l="1"/>
  <c r="H11" i="18" s="1"/>
  <c r="M17" i="2" s="1"/>
  <c r="B16" i="18"/>
  <c r="J56" i="2"/>
  <c r="J65" i="14" s="1"/>
  <c r="J64" i="14"/>
  <c r="J68" i="3"/>
  <c r="J71" i="3" s="1"/>
  <c r="J72" i="3" s="1"/>
  <c r="J77" i="3" s="1"/>
  <c r="J84" i="14"/>
  <c r="E130" i="5"/>
  <c r="F130" i="5" s="1"/>
  <c r="K197" i="5"/>
  <c r="E46" i="44"/>
  <c r="K223" i="5"/>
  <c r="E93" i="5"/>
  <c r="G93" i="5" s="1"/>
  <c r="I64" i="14"/>
  <c r="E11" i="30" s="1"/>
  <c r="F11" i="30" s="1"/>
  <c r="I56" i="2"/>
  <c r="I65" i="14" s="1"/>
  <c r="K196" i="5"/>
  <c r="B14" i="30"/>
  <c r="D46" i="44"/>
  <c r="B106" i="5"/>
  <c r="D42" i="30"/>
  <c r="E42" i="30" s="1"/>
  <c r="D130" i="5"/>
  <c r="D43" i="30"/>
  <c r="E43" i="30" s="1"/>
  <c r="E7" i="30"/>
  <c r="F7" i="30" s="1"/>
  <c r="E97" i="5"/>
  <c r="G97" i="5" s="1"/>
  <c r="D131" i="5"/>
  <c r="B87" i="5"/>
  <c r="I68" i="3"/>
  <c r="I71" i="3" s="1"/>
  <c r="I72" i="3" s="1"/>
  <c r="I77" i="3" s="1"/>
  <c r="I84" i="14"/>
  <c r="D55" i="5"/>
  <c r="K89" i="14"/>
  <c r="K225" i="5"/>
  <c r="K64" i="14"/>
  <c r="K56" i="2"/>
  <c r="K65" i="14" s="1"/>
  <c r="K68" i="3"/>
  <c r="K71" i="3" s="1"/>
  <c r="K72" i="3" s="1"/>
  <c r="K77" i="3" s="1"/>
  <c r="K84" i="14"/>
  <c r="F46" i="44"/>
  <c r="K198" i="5"/>
  <c r="L21" i="14"/>
  <c r="L24" i="2"/>
  <c r="L25" i="2" s="1"/>
  <c r="L27" i="2" s="1"/>
  <c r="L29" i="2" s="1"/>
  <c r="L29" i="14"/>
  <c r="B64" i="44"/>
  <c r="H44" i="44"/>
  <c r="M53" i="14"/>
  <c r="K245" i="5" s="1"/>
  <c r="D37" i="25"/>
  <c r="M51" i="14"/>
  <c r="M59" i="14"/>
  <c r="M50" i="14"/>
  <c r="H7" i="18"/>
  <c r="H12" i="18"/>
  <c r="M29" i="14" l="1"/>
  <c r="M21" i="14"/>
  <c r="D16" i="26"/>
  <c r="M24" i="2"/>
  <c r="M25" i="2" s="1"/>
  <c r="M27" i="2" s="1"/>
  <c r="M29" i="2" s="1"/>
  <c r="C51" i="20"/>
  <c r="C52" i="20"/>
  <c r="C51" i="26"/>
  <c r="B17" i="26"/>
  <c r="B27" i="26"/>
  <c r="B69" i="44"/>
  <c r="J7" i="18"/>
  <c r="C54" i="26"/>
  <c r="B35" i="26"/>
  <c r="E52" i="44"/>
  <c r="E54" i="44" s="1"/>
  <c r="E48" i="44"/>
  <c r="D52" i="44"/>
  <c r="D54" i="44" s="1"/>
  <c r="D48" i="44"/>
  <c r="F52" i="44"/>
  <c r="F54" i="44" s="1"/>
  <c r="F48" i="44"/>
  <c r="L23" i="14"/>
  <c r="K172" i="5"/>
  <c r="L33" i="2"/>
  <c r="L34" i="2" s="1"/>
  <c r="L38" i="2" s="1"/>
  <c r="L8" i="3"/>
  <c r="L25" i="3" s="1"/>
  <c r="L38" i="3" s="1"/>
  <c r="L31" i="14"/>
  <c r="K208" i="5" s="1"/>
  <c r="L30" i="14"/>
  <c r="M31" i="14"/>
  <c r="K209" i="5" s="1"/>
  <c r="M30" i="14"/>
  <c r="M23" i="14"/>
  <c r="K173" i="5"/>
  <c r="M33" i="2"/>
  <c r="M34" i="2" s="1"/>
  <c r="M38" i="2" s="1"/>
  <c r="M8" i="3"/>
  <c r="M25" i="3" s="1"/>
  <c r="M38" i="3" s="1"/>
  <c r="C53" i="20" l="1"/>
  <c r="L33" i="14"/>
  <c r="K226" i="5" s="1"/>
  <c r="L55" i="2"/>
  <c r="L60" i="1"/>
  <c r="L35" i="14"/>
  <c r="L10" i="14"/>
  <c r="L44" i="2"/>
  <c r="L49" i="2" s="1"/>
  <c r="L45" i="2"/>
  <c r="L34" i="14"/>
  <c r="L39" i="3"/>
  <c r="L40" i="3" s="1"/>
  <c r="L30" i="2"/>
  <c r="M33" i="14"/>
  <c r="K227" i="5" s="1"/>
  <c r="M55" i="2"/>
  <c r="M45" i="2"/>
  <c r="M44" i="2"/>
  <c r="M49" i="2" s="1"/>
  <c r="M60" i="1"/>
  <c r="M10" i="14"/>
  <c r="M34" i="14"/>
  <c r="M35" i="14"/>
  <c r="M39" i="3"/>
  <c r="M40" i="3" s="1"/>
  <c r="M30" i="2"/>
  <c r="C54" i="20" l="1"/>
  <c r="B56" i="20"/>
  <c r="L56" i="2"/>
  <c r="L65" i="14" s="1"/>
  <c r="L64" i="14"/>
  <c r="D20" i="26"/>
  <c r="C61" i="44"/>
  <c r="L68" i="3"/>
  <c r="L71" i="3" s="1"/>
  <c r="L72" i="3" s="1"/>
  <c r="L77" i="3" s="1"/>
  <c r="L84" i="14"/>
  <c r="G46" i="44"/>
  <c r="K199" i="5"/>
  <c r="M64" i="14"/>
  <c r="M56" i="2"/>
  <c r="M65" i="14" s="1"/>
  <c r="M68" i="3"/>
  <c r="M71" i="3" s="1"/>
  <c r="M72" i="3" s="1"/>
  <c r="M77" i="3" s="1"/>
  <c r="M84" i="14"/>
  <c r="K200" i="5"/>
  <c r="D35" i="5"/>
  <c r="H46" i="44"/>
  <c r="C104" i="44" l="1"/>
  <c r="C74" i="44"/>
  <c r="C75" i="44" s="1"/>
  <c r="C76" i="44" s="1"/>
  <c r="C78" i="44" s="1"/>
  <c r="C79" i="44" s="1"/>
  <c r="C40" i="25"/>
  <c r="G52" i="44"/>
  <c r="G54" i="44" s="1"/>
  <c r="G48" i="44"/>
  <c r="H52" i="44"/>
  <c r="H48" i="44"/>
  <c r="B112" i="44" l="1"/>
  <c r="G110" i="44"/>
  <c r="F110" i="44"/>
  <c r="E110" i="44"/>
  <c r="D110" i="44"/>
  <c r="C110" i="44"/>
  <c r="C105" i="44"/>
  <c r="C82" i="44"/>
  <c r="C81" i="44"/>
  <c r="C58" i="44"/>
  <c r="C60" i="44" s="1"/>
  <c r="C49" i="44"/>
  <c r="B65" i="44"/>
  <c r="H54" i="44"/>
  <c r="B66" i="44" s="1"/>
  <c r="C41" i="25"/>
  <c r="C106" i="44" l="1"/>
  <c r="C83" i="44"/>
  <c r="C84" i="44" s="1"/>
  <c r="C85" i="44"/>
  <c r="C53" i="26"/>
  <c r="B36" i="26"/>
  <c r="C90" i="44"/>
  <c r="B111" i="44"/>
  <c r="C39" i="25"/>
  <c r="C62" i="44"/>
  <c r="D62" i="44" s="1"/>
  <c r="C55" i="44"/>
  <c r="C43" i="25"/>
  <c r="C91" i="44" l="1"/>
  <c r="C92" i="44"/>
  <c r="B21" i="26" l="1"/>
  <c r="D53"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C18" authorId="0" shapeId="0" xr:uid="{C56E83DC-838C-4C06-BCCC-85479EC5EBE6}">
      <text>
        <r>
          <rPr>
            <b/>
            <sz val="9"/>
            <color indexed="81"/>
            <rFont val="Tahoma"/>
            <family val="2"/>
          </rPr>
          <t>Chhaya Pathania:</t>
        </r>
        <r>
          <rPr>
            <sz val="9"/>
            <color indexed="81"/>
            <rFont val="Tahoma"/>
            <family val="2"/>
          </rPr>
          <t xml:space="preserve">
ILLUSTRATIVE assumption. Poonawalla does not disclose average customer tenure or churn. 3 years approximates the blended loan tenure implied by the ~35% portfolio runoff rate used in Business Drivers.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F5" authorId="0" shapeId="0" xr:uid="{F80BC5A9-50B5-413F-AA7C-1B99C46848C2}">
      <text>
        <r>
          <rPr>
            <b/>
            <sz val="9"/>
            <color indexed="81"/>
            <rFont val="Tahoma"/>
            <family val="2"/>
          </rPr>
          <t>Chhaya Pathania:</t>
        </r>
        <r>
          <rPr>
            <sz val="9"/>
            <color indexed="81"/>
            <rFont val="Tahoma"/>
            <family val="2"/>
          </rPr>
          <t xml:space="preserve">
Source: Annual Report FY2026, Board's Report pg.35 ("over twenty two lakh customers as of March 31, 2026")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tc={374C8812-FA52-435A-88E0-DB8F54632580}</author>
    <author>Chhaya Pathania</author>
    <author>tc={E7EBF7D9-6057-456D-AA0C-3CE7BAB2BCDC}</author>
    <author>tc={2783BA62-7B6C-4E2C-9EDE-46CE6339910C}</author>
    <author>tc={575579B9-1D49-4600-AC4D-30079C6695FE}</author>
    <author>tc={093E9933-EEE5-4677-A6A5-D627F5D5D103}</author>
    <author>tc={26A524E9-7375-4677-9871-AD61E09E5B5E}</author>
    <author>tc={228A9591-B9C9-4B0E-AB35-EEB981A9932D}</author>
    <author>tc={0FD1DC66-87D5-4D3F-AF37-78E89F516363}</author>
  </authors>
  <commentList>
    <comment ref="G6" authorId="0" shapeId="0" xr:uid="{374C8812-FA52-435A-88E0-DB8F54632580}">
      <text>
        <t>[Threaded comment]
Your version of Excel allows you to read this threaded comment; however, any edits to it will get removed if the file is opened in a newer version of Excel. Learn more: https://go.microsoft.com/fwlink/?linkid=870924
Comment:
    Threshold: Actual &gt;=60% of FY27E target = Green, &gt;=50% = Yellow, below = Red. Illustrative bands for a partial-year progress check (FY26A is naturally below a forward-looking target).</t>
      </text>
    </comment>
    <comment ref="D7" authorId="1" shapeId="0" xr:uid="{E89DCE8C-C3D6-4499-AA0D-6D1E04291B90}">
      <text>
        <r>
          <rPr>
            <b/>
            <sz val="9"/>
            <color indexed="81"/>
            <rFont val="Tahoma"/>
            <family val="2"/>
          </rPr>
          <t>Chhaya Pathania:</t>
        </r>
        <r>
          <rPr>
            <sz val="9"/>
            <color indexed="81"/>
            <rFont val="Tahoma"/>
            <family val="2"/>
          </rPr>
          <t xml:space="preserve">
Fixed: was referencing Executive Dashboard!H173, which is blank (ROE not disclosed by the Company for FY23-26). Now uses the independently-computed Consolidated ROE from KPIs &amp; Ratios, consistent with row 77 (Shareholder Value Dashboard) below.</t>
        </r>
      </text>
    </comment>
    <comment ref="G8" authorId="2" shapeId="0" xr:uid="{E7EBF7D9-6057-456D-AA0C-3CE7BAB2BCDC}">
      <text>
        <t>[Threaded comment]
Your version of Excel allows you to read this threaded comment; however, any edits to it will get removed if the file is opened in a newer version of Excel. Learn more: https://go.microsoft.com/fwlink/?linkid=870924
Comment:
    Threshold: GNPA &lt;1.3% Green, 1.3-2.0% Yellow, &gt;2.0% Red — consistent with the Enterprise Risk Cockpit's credit-risk bands.</t>
      </text>
    </comment>
    <comment ref="G9" authorId="3" shapeId="0" xr:uid="{2783BA62-7B6C-4E2C-9EDE-46CE6339910C}">
      <text>
        <t>[Threaded comment]
Your version of Excel allows you to read this threaded comment; however, any edits to it will get removed if the file is opened in a newer version of Excel. Learn more: https://go.microsoft.com/fwlink/?linkid=870924
Comment:
    Threshold: Cost-to-Income &lt;45% Green, 45-55% Yellow, &gt;55% Red.</t>
      </text>
    </comment>
    <comment ref="G10" authorId="4" shapeId="0" xr:uid="{575579B9-1D49-4600-AC4D-30079C6695FE}">
      <text>
        <t>[Threaded comment]
Your version of Excel allows you to read this threaded comment; however, any edits to it will get removed if the file is opened in a newer version of Excel. Learn more: https://go.microsoft.com/fwlink/?linkid=870924
Comment:
    Threshold: LCR &gt;150% Green, 120-150% Yellow, &lt;120% Red (RBI regulatory minimum is 100%).</t>
      </text>
    </comment>
    <comment ref="G11" authorId="5" shapeId="0" xr:uid="{093E9933-EEE5-4677-A6A5-D627F5D5D103}">
      <text>
        <t>[Threaded comment]
Your version of Excel allows you to read this threaded comment; however, any edits to it will get removed if the file is opened in a newer version of Excel. Learn more: https://go.microsoft.com/fwlink/?linkid=870924
Comment:
    Threshold: Basic EPS &gt;₹15 Green, ₹5-15 Yellow, &lt;₹5 Red — illustrative bands, not a disclosed company target.</t>
      </text>
    </comment>
    <comment ref="F21" authorId="1" shapeId="0" xr:uid="{D20C3668-F67B-42B5-9C1C-D2868B765D2A}">
      <text>
        <r>
          <rPr>
            <b/>
            <sz val="9"/>
            <color indexed="81"/>
            <rFont val="Tahoma"/>
            <family val="2"/>
          </rPr>
          <t>Chhaya Pathania:</t>
        </r>
        <r>
          <rPr>
            <sz val="9"/>
            <color indexed="81"/>
            <rFont val="Tahoma"/>
            <family val="2"/>
          </rPr>
          <t xml:space="preserve">
Fixed: was referencing Customer Analytics!G5, which is out of that sheet's range (data only goes to column F). Now correctly compares FY26A cumulative customers to FY25 (column E).</t>
        </r>
      </text>
    </comment>
    <comment ref="D32" authorId="6" shapeId="0" xr:uid="{26A524E9-7375-4677-9871-AD61E09E5B5E}">
      <text>
        <t>[Threaded comment]
Your version of Excel allows you to read this threaded comment; however, any edits to it will get removed if the file is opened in a newer version of Excel. Learn more: https://go.microsoft.com/fwlink/?linkid=870924
Comment:
    Threshold: AUM growth &gt;20% Green, 10-20% Yellow, &lt;10% Red.</t>
      </text>
    </comment>
    <comment ref="D34" authorId="7" shapeId="0" xr:uid="{228A9591-B9C9-4B0E-AB35-EEB981A9932D}">
      <text>
        <t>[Threaded comment]
Your version of Excel allows you to read this threaded comment; however, any edits to it will get removed if the file is opened in a newer version of Excel. Learn more: https://go.microsoft.com/fwlink/?linkid=870924
Comment:
    Threshold: Cost of Borrowing &lt;7% Green, 7-8% Yellow, &gt;8% Red.</t>
      </text>
    </comment>
    <comment ref="D36" authorId="8" shapeId="0" xr:uid="{0FD1DC66-87D5-4D3F-AF37-78E89F516363}">
      <text>
        <t>[Threaded comment]
Your version of Excel allows you to read this threaded comment; however, any edits to it will get removed if the file is opened in a newer version of Excel. Learn more: https://go.microsoft.com/fwlink/?linkid=870924
Comment:
    Threshold: Cost-to-Income &lt;45% Green, 45-55% Yellow, &gt;55% Red.</t>
      </text>
    </comment>
    <comment ref="D37" authorId="1" shapeId="0" xr:uid="{BC653A61-42D1-433F-A793-EEC92593372E}">
      <text>
        <r>
          <rPr>
            <b/>
            <sz val="9"/>
            <color indexed="81"/>
            <rFont val="Tahoma"/>
            <family val="2"/>
          </rPr>
          <t>Chhaya Pathania:</t>
        </r>
        <r>
          <rPr>
            <sz val="9"/>
            <color indexed="81"/>
            <rFont val="Tahoma"/>
            <family val="2"/>
          </rPr>
          <t xml:space="preserve">
Not numerically disclosed for FY2025-FY2026 — status reflects the last disclosed level (82%, FY24) and the Company's continued strategic emphasis on digital/AI-led origination (AR FY26 pg.24-26).</t>
        </r>
      </text>
    </comment>
    <comment ref="E52" authorId="1" shapeId="0" xr:uid="{78F1ADDF-9217-4A1C-974F-96D1B54EC3AA}">
      <text>
        <r>
          <rPr>
            <b/>
            <sz val="9"/>
            <color indexed="81"/>
            <rFont val="Tahoma"/>
            <family val="2"/>
          </rPr>
          <t>Chhaya Pathania:</t>
        </r>
        <r>
          <rPr>
            <sz val="9"/>
            <color indexed="81"/>
            <rFont val="Tahoma"/>
            <family val="2"/>
          </rPr>
          <t xml:space="preserve">
Directional initiative referenced in the Company's own AR FY26 disclosure on AI/automation; not separately quantified in the Value Creation Tracker.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D161" authorId="0" shapeId="0" xr:uid="{DF5F4430-3CFE-44EB-80AC-8973DEA2B1A8}">
      <text>
        <r>
          <rPr>
            <b/>
            <sz val="9"/>
            <color indexed="81"/>
            <rFont val="Tahoma"/>
            <family val="2"/>
          </rPr>
          <t>Chhaya Pathania:</t>
        </r>
        <r>
          <rPr>
            <sz val="9"/>
            <color indexed="81"/>
            <rFont val="Tahoma"/>
            <family val="2"/>
          </rPr>
          <t xml:space="preserve">
Source: Annual Report FY2023, MD&amp;A pg.77 (loan assets as at 31-Mar-2022)</t>
        </r>
      </text>
    </comment>
    <comment ref="E161" authorId="0" shapeId="0" xr:uid="{66976B6A-177A-4B42-9100-6276B72DAC1F}">
      <text>
        <r>
          <rPr>
            <b/>
            <sz val="9"/>
            <color indexed="81"/>
            <rFont val="Tahoma"/>
            <family val="2"/>
          </rPr>
          <t>Chhaya Pathania:</t>
        </r>
        <r>
          <rPr>
            <sz val="9"/>
            <color indexed="81"/>
            <rFont val="Tahoma"/>
            <family val="2"/>
          </rPr>
          <t xml:space="preserve">
Source: Annual Report FY2023, MD&amp;A pg.77</t>
        </r>
      </text>
    </comment>
    <comment ref="F161" authorId="0" shapeId="0" xr:uid="{C494A23D-7A13-464B-977C-CA5BEE6011F3}">
      <text>
        <r>
          <rPr>
            <b/>
            <sz val="9"/>
            <color indexed="81"/>
            <rFont val="Tahoma"/>
            <family val="2"/>
          </rPr>
          <t>Chhaya Pathania:</t>
        </r>
        <r>
          <rPr>
            <sz val="9"/>
            <color indexed="81"/>
            <rFont val="Tahoma"/>
            <family val="2"/>
          </rPr>
          <t xml:space="preserve">
Source: Annual Report FY2026, KPI pg.19</t>
        </r>
      </text>
    </comment>
    <comment ref="G161" authorId="0" shapeId="0" xr:uid="{7CD82A55-B335-42ED-9C20-0E78DC584CC0}">
      <text>
        <r>
          <rPr>
            <b/>
            <sz val="9"/>
            <color indexed="81"/>
            <rFont val="Tahoma"/>
            <family val="2"/>
          </rPr>
          <t>Chhaya Pathania:</t>
        </r>
        <r>
          <rPr>
            <sz val="9"/>
            <color indexed="81"/>
            <rFont val="Tahoma"/>
            <family val="2"/>
          </rPr>
          <t xml:space="preserve">
Source: Annual Report FY2026, KPI pg.19</t>
        </r>
      </text>
    </comment>
    <comment ref="H161" authorId="0" shapeId="0" xr:uid="{82245D7C-DCA4-491B-983B-33CD3CA63076}">
      <text>
        <r>
          <rPr>
            <b/>
            <sz val="9"/>
            <color indexed="81"/>
            <rFont val="Tahoma"/>
            <family val="2"/>
          </rPr>
          <t>Chhaya Pathania:</t>
        </r>
        <r>
          <rPr>
            <sz val="9"/>
            <color indexed="81"/>
            <rFont val="Tahoma"/>
            <family val="2"/>
          </rPr>
          <t xml:space="preserve">
Source: Annual Report FY2026, KPI pg.19</t>
        </r>
      </text>
    </comment>
    <comment ref="D163" authorId="0" shapeId="0" xr:uid="{01436B52-4AFF-4A0B-BAE0-2C6E8B4A9489}">
      <text>
        <r>
          <rPr>
            <b/>
            <sz val="9"/>
            <color indexed="81"/>
            <rFont val="Tahoma"/>
            <family val="2"/>
          </rPr>
          <t>Chhaya Pathania:</t>
        </r>
        <r>
          <rPr>
            <sz val="9"/>
            <color indexed="81"/>
            <rFont val="Tahoma"/>
            <family val="2"/>
          </rPr>
          <t xml:space="preserve">
Source: Annual Report FY2023, MD&amp;A pg.77 (FY22 disbursements)</t>
        </r>
      </text>
    </comment>
    <comment ref="E163" authorId="0" shapeId="0" xr:uid="{B0B25DD5-1898-4C8C-A18B-77FB1E4DA3B3}">
      <text>
        <r>
          <rPr>
            <b/>
            <sz val="9"/>
            <color indexed="81"/>
            <rFont val="Tahoma"/>
            <family val="2"/>
          </rPr>
          <t>Chhaya Pathania:</t>
        </r>
        <r>
          <rPr>
            <sz val="9"/>
            <color indexed="81"/>
            <rFont val="Tahoma"/>
            <family val="2"/>
          </rPr>
          <t xml:space="preserve">
Source: Annual Report FY2023, MD&amp;A pg.77</t>
        </r>
      </text>
    </comment>
    <comment ref="H164" authorId="0" shapeId="0" xr:uid="{1AF05D67-A5EE-4D93-85A6-D3283F92A38A}">
      <text>
        <r>
          <rPr>
            <b/>
            <sz val="9"/>
            <color indexed="81"/>
            <rFont val="Tahoma"/>
            <family val="2"/>
          </rPr>
          <t>Chhaya Pathania:</t>
        </r>
        <r>
          <rPr>
            <sz val="9"/>
            <color indexed="81"/>
            <rFont val="Tahoma"/>
            <family val="2"/>
          </rPr>
          <t xml:space="preserve">
Source: Annual Report FY2026, Board's Report pg.35 ("over twenty two lakh customers as of March 31, 2026")</t>
        </r>
      </text>
    </comment>
    <comment ref="H165" authorId="0" shapeId="0" xr:uid="{27B33925-F7F1-4319-8FD9-D02E470C0C56}">
      <text>
        <r>
          <rPr>
            <b/>
            <sz val="9"/>
            <color indexed="81"/>
            <rFont val="Tahoma"/>
            <family val="2"/>
          </rPr>
          <t>Chhaya Pathania:</t>
        </r>
        <r>
          <rPr>
            <sz val="9"/>
            <color indexed="81"/>
            <rFont val="Tahoma"/>
            <family val="2"/>
          </rPr>
          <t xml:space="preserve">
Source: Annual Report FY2026 pg.2 ("500+ branches incl. 400 gold loan branches")</t>
        </r>
      </text>
    </comment>
    <comment ref="E168" authorId="0" shapeId="0" xr:uid="{DE9AF16C-BDB6-499F-97F5-0D3D7FBA1BB3}">
      <text>
        <r>
          <rPr>
            <b/>
            <sz val="9"/>
            <color indexed="81"/>
            <rFont val="Tahoma"/>
            <family val="2"/>
          </rPr>
          <t>Source: Annual Report FY2024, Board's Report pg.28 ("Net income", FY23)</t>
        </r>
      </text>
    </comment>
    <comment ref="F168" authorId="0" shapeId="0" xr:uid="{0C904F36-EF1B-49CE-9E7E-4EBBEA61699E}">
      <text>
        <r>
          <rPr>
            <b/>
            <sz val="9"/>
            <color indexed="81"/>
            <rFont val="Tahoma"/>
            <family val="2"/>
          </rPr>
          <t>Source: Annual Report FY2024, Board's Report pg.28</t>
        </r>
      </text>
    </comment>
    <comment ref="G168" authorId="0" shapeId="0" xr:uid="{E643933C-A423-4DF1-A7A8-151D79293AD7}">
      <text>
        <r>
          <rPr>
            <b/>
            <sz val="9"/>
            <color indexed="81"/>
            <rFont val="Tahoma"/>
            <family val="2"/>
          </rPr>
          <t>Source: Annual Report FY2026, Board's Report pg.35</t>
        </r>
      </text>
    </comment>
    <comment ref="H168" authorId="0" shapeId="0" xr:uid="{E4735A9B-39BA-443A-9E94-DAB77C9A85EE}">
      <text>
        <r>
          <rPr>
            <b/>
            <sz val="9"/>
            <color indexed="81"/>
            <rFont val="Tahoma"/>
            <family val="2"/>
          </rPr>
          <t>Source: Annual Report FY2026, Board's Report pg.35</t>
        </r>
      </text>
    </comment>
    <comment ref="D169" authorId="0" shapeId="0" xr:uid="{B831C808-7A44-493E-8C69-784C8D4FA8B3}">
      <text>
        <r>
          <rPr>
            <b/>
            <sz val="9"/>
            <color indexed="81"/>
            <rFont val="Tahoma"/>
            <family val="2"/>
          </rPr>
          <t>Source: Annual Report FY2023, MD&amp;A pg.77 (FY22)</t>
        </r>
      </text>
    </comment>
    <comment ref="E169" authorId="0" shapeId="0" xr:uid="{C091C69C-D390-4CA3-9160-6DADF919C4A8}">
      <text>
        <r>
          <rPr>
            <b/>
            <sz val="9"/>
            <color indexed="81"/>
            <rFont val="Tahoma"/>
            <family val="2"/>
          </rPr>
          <t>Source: Annual Report FY2023, MD&amp;A pg.77</t>
        </r>
      </text>
    </comment>
    <comment ref="F169" authorId="0" shapeId="0" xr:uid="{45E4BA0F-4193-45EA-8647-B26773BF9E94}">
      <text>
        <r>
          <rPr>
            <b/>
            <sz val="9"/>
            <color indexed="81"/>
            <rFont val="Tahoma"/>
            <family val="2"/>
          </rPr>
          <t>Source: Annual Report FY2024, Board's Report pg.28</t>
        </r>
      </text>
    </comment>
    <comment ref="G169" authorId="0" shapeId="0" xr:uid="{8A1E6C14-3B73-4EB9-8DB0-A0E8081BEBF9}">
      <text>
        <r>
          <rPr>
            <b/>
            <sz val="9"/>
            <color indexed="81"/>
            <rFont val="Tahoma"/>
            <family val="2"/>
          </rPr>
          <t>Source: Annual Report FY2026, Board's Report pg.35</t>
        </r>
      </text>
    </comment>
    <comment ref="H169" authorId="0" shapeId="0" xr:uid="{FB739070-1105-42F2-A616-11972DC36DD1}">
      <text>
        <r>
          <rPr>
            <b/>
            <sz val="9"/>
            <color indexed="81"/>
            <rFont val="Tahoma"/>
            <family val="2"/>
          </rPr>
          <t>Source: Annual Report FY2026, Board's Report pg.35</t>
        </r>
      </text>
    </comment>
    <comment ref="D170" authorId="0" shapeId="0" xr:uid="{AAA0158E-37C0-4902-A5BB-BD7944848EC8}">
      <text>
        <r>
          <rPr>
            <b/>
            <sz val="9"/>
            <color indexed="81"/>
            <rFont val="Tahoma"/>
            <family val="2"/>
          </rPr>
          <t>Source: Annual Report FY2023, MD&amp;A pg.77 (FY22)</t>
        </r>
      </text>
    </comment>
    <comment ref="E170" authorId="0" shapeId="0" xr:uid="{F511ACA0-E7F0-4F31-9625-1FE4E8973FF4}">
      <text>
        <r>
          <rPr>
            <b/>
            <sz val="9"/>
            <color indexed="81"/>
            <rFont val="Tahoma"/>
            <family val="2"/>
          </rPr>
          <t>Source: Annual Report FY2024, Board's Report pg.28 (FY23)</t>
        </r>
      </text>
    </comment>
    <comment ref="F170" authorId="0" shapeId="0" xr:uid="{6244996F-1E04-4D63-A4D2-5CD8FEDE6768}">
      <text>
        <r>
          <rPr>
            <b/>
            <sz val="9"/>
            <color indexed="81"/>
            <rFont val="Tahoma"/>
            <family val="2"/>
          </rPr>
          <t>Source: Annual Report FY2024, Board's Report pg.28. Includes one-off exceptional gain of ₹1,221.20 Cr on the Poonawalla Housing Finance stake sale.</t>
        </r>
      </text>
    </comment>
    <comment ref="G170" authorId="0" shapeId="0" xr:uid="{BABB1848-9E13-4B07-B855-DDD341A55144}">
      <text>
        <r>
          <rPr>
            <b/>
            <sz val="9"/>
            <color indexed="81"/>
            <rFont val="Tahoma"/>
            <family val="2"/>
          </rPr>
          <t>Source: Annual Report FY2026, Board's Report pg.35</t>
        </r>
      </text>
    </comment>
    <comment ref="H170" authorId="0" shapeId="0" xr:uid="{60F32699-AB58-4D3F-A51D-9265F8FC0A60}">
      <text>
        <r>
          <rPr>
            <b/>
            <sz val="9"/>
            <color indexed="81"/>
            <rFont val="Tahoma"/>
            <family val="2"/>
          </rPr>
          <t>Source: Annual Report FY2026, Board's Report pg.35</t>
        </r>
      </text>
    </comment>
    <comment ref="C172" authorId="0" shapeId="0" xr:uid="{A29F125B-5337-4150-A642-940D33C776AB}">
      <text>
        <r>
          <rPr>
            <b/>
            <sz val="9"/>
            <color indexed="81"/>
            <rFont val="Tahoma"/>
            <family val="2"/>
          </rPr>
          <t>Source: Annual Report FY2022, MD&amp;A pg.100 (Consolidated basis)</t>
        </r>
      </text>
    </comment>
    <comment ref="D172" authorId="0" shapeId="0" xr:uid="{344B055C-45B4-46F7-AB03-D8B20B7FE2B0}">
      <text>
        <r>
          <rPr>
            <b/>
            <sz val="9"/>
            <color indexed="81"/>
            <rFont val="Tahoma"/>
            <family val="2"/>
          </rPr>
          <t>Source: Annual Report FY2023, MD&amp;A pg.77 (Standalone)</t>
        </r>
      </text>
    </comment>
    <comment ref="E172" authorId="0" shapeId="0" xr:uid="{9A3C0147-7C39-42E1-B61F-40B1175AB788}">
      <text>
        <r>
          <rPr>
            <b/>
            <sz val="9"/>
            <color indexed="81"/>
            <rFont val="Tahoma"/>
            <family val="2"/>
          </rPr>
          <t>Source: Annual Report FY2023, MD&amp;A pg.77</t>
        </r>
      </text>
    </comment>
    <comment ref="F172" authorId="0" shapeId="0" xr:uid="{67C8AAC7-DFC5-4344-B8E8-CE695BFBC0A1}">
      <text>
        <r>
          <rPr>
            <b/>
            <sz val="9"/>
            <color indexed="81"/>
            <rFont val="Tahoma"/>
            <family val="2"/>
          </rPr>
          <t>Source: Annual Report FY2026, KPI pg.19</t>
        </r>
      </text>
    </comment>
    <comment ref="G172" authorId="0" shapeId="0" xr:uid="{E6FD5A76-1BCF-4FC3-9EE8-F3A5C2366AAF}">
      <text>
        <r>
          <rPr>
            <b/>
            <sz val="9"/>
            <color indexed="81"/>
            <rFont val="Tahoma"/>
            <family val="2"/>
          </rPr>
          <t>Source: Annual Report FY2026, KPI pg.19</t>
        </r>
      </text>
    </comment>
    <comment ref="H172" authorId="0" shapeId="0" xr:uid="{8B4DD7ED-C3D2-4604-8C59-DC03EA754610}">
      <text>
        <r>
          <rPr>
            <b/>
            <sz val="9"/>
            <color indexed="81"/>
            <rFont val="Tahoma"/>
            <family val="2"/>
          </rPr>
          <t>Source: Annual Report FY2026, KPI pg.19</t>
        </r>
      </text>
    </comment>
    <comment ref="C173" authorId="0" shapeId="0" xr:uid="{65C50942-3935-4D12-AF31-7B13D63F2B2E}">
      <text>
        <r>
          <rPr>
            <b/>
            <sz val="9"/>
            <color indexed="81"/>
            <rFont val="Tahoma"/>
            <family val="2"/>
          </rPr>
          <t>Source: Annual Report FY2022, MD&amp;A pg.100 (Consolidated basis)</t>
        </r>
      </text>
    </comment>
    <comment ref="D173" authorId="0" shapeId="0" xr:uid="{0D7D6960-EE18-4D0B-95BD-8EBE2E1D4CEB}">
      <text>
        <r>
          <rPr>
            <b/>
            <sz val="9"/>
            <color indexed="81"/>
            <rFont val="Tahoma"/>
            <family val="2"/>
          </rPr>
          <t>Source: Annual Report FY2022, MD&amp;A pg.100</t>
        </r>
      </text>
    </comment>
    <comment ref="C174" authorId="0" shapeId="0" xr:uid="{E239573C-1A94-4E7B-B744-2EB1C4FE1EEC}">
      <text>
        <r>
          <rPr>
            <b/>
            <sz val="9"/>
            <color indexed="81"/>
            <rFont val="Tahoma"/>
            <family val="2"/>
          </rPr>
          <t>Source: Annual Report FY2022, MD&amp;A pg.100 (Consolidated)</t>
        </r>
      </text>
    </comment>
    <comment ref="D174" authorId="0" shapeId="0" xr:uid="{184EAF24-5FCA-4AF5-B7AF-700DDD41C154}">
      <text>
        <r>
          <rPr>
            <b/>
            <sz val="9"/>
            <color indexed="81"/>
            <rFont val="Tahoma"/>
            <family val="2"/>
          </rPr>
          <t>Derived: FY2023 AR states NIM expanded 89bps to 10.7% in FY23 (Standalone) → implies FY22 NIM ≈ 9.81%</t>
        </r>
      </text>
    </comment>
    <comment ref="E174" authorId="0" shapeId="0" xr:uid="{B3B23847-8C40-4FD1-98B2-D493671771B6}">
      <text>
        <r>
          <rPr>
            <b/>
            <sz val="9"/>
            <color indexed="81"/>
            <rFont val="Tahoma"/>
            <family val="2"/>
          </rPr>
          <t>Source: Annual Report FY2023, MD&amp;A pg.77 (Standalone)</t>
        </r>
      </text>
    </comment>
    <comment ref="F174" authorId="0" shapeId="0" xr:uid="{8FA24DE0-7327-4891-8AC5-09BF44BB4D3C}">
      <text>
        <r>
          <rPr>
            <b/>
            <sz val="9"/>
            <color indexed="81"/>
            <rFont val="Tahoma"/>
            <family val="2"/>
          </rPr>
          <t>Source: Annual Report FY2024, Board's Report pg.28 (Standalone)</t>
        </r>
      </text>
    </comment>
    <comment ref="D177" authorId="0" shapeId="0" xr:uid="{DF43E98A-E9CE-4A1D-BB75-0310940BEE70}">
      <text>
        <r>
          <rPr>
            <b/>
            <sz val="9"/>
            <color indexed="81"/>
            <rFont val="Tahoma"/>
            <family val="2"/>
          </rPr>
          <t>Chhaya Pathania:</t>
        </r>
        <r>
          <rPr>
            <sz val="9"/>
            <color indexed="81"/>
            <rFont val="Tahoma"/>
            <family val="2"/>
          </rPr>
          <t xml:space="preserve">
Source: Annual Report FY2023, MD&amp;A pg.77 (as at 31-Mar-2022)</t>
        </r>
      </text>
    </comment>
    <comment ref="E177" authorId="0" shapeId="0" xr:uid="{68B7CEC1-B512-4808-B38A-082BB0A595A6}">
      <text>
        <r>
          <rPr>
            <b/>
            <sz val="9"/>
            <color indexed="81"/>
            <rFont val="Tahoma"/>
            <family val="2"/>
          </rPr>
          <t>Chhaya Pathania:</t>
        </r>
        <r>
          <rPr>
            <sz val="9"/>
            <color indexed="81"/>
            <rFont val="Tahoma"/>
            <family val="2"/>
          </rPr>
          <t xml:space="preserve">
Source: Annual Report FY2023, MD&amp;A pg.77</t>
        </r>
      </text>
    </comment>
    <comment ref="F177" authorId="0" shapeId="0" xr:uid="{A01746E2-C419-43AE-B37A-9B0FE3459B70}">
      <text>
        <r>
          <rPr>
            <b/>
            <sz val="9"/>
            <color indexed="81"/>
            <rFont val="Tahoma"/>
            <family val="2"/>
          </rPr>
          <t>Chhaya Pathania:</t>
        </r>
        <r>
          <rPr>
            <sz val="9"/>
            <color indexed="81"/>
            <rFont val="Tahoma"/>
            <family val="2"/>
          </rPr>
          <t xml:space="preserve">
Source: Annual Report FY2026, KPI pg.19</t>
        </r>
      </text>
    </comment>
    <comment ref="G177" authorId="0" shapeId="0" xr:uid="{9D9B3C31-16E9-4556-B235-9F6B6CE9A007}">
      <text>
        <r>
          <rPr>
            <b/>
            <sz val="9"/>
            <color indexed="81"/>
            <rFont val="Tahoma"/>
            <family val="2"/>
          </rPr>
          <t>Chhaya Pathania:</t>
        </r>
        <r>
          <rPr>
            <sz val="9"/>
            <color indexed="81"/>
            <rFont val="Tahoma"/>
            <family val="2"/>
          </rPr>
          <t xml:space="preserve">
Source: Annual Report FY2026, KPI pg.19</t>
        </r>
      </text>
    </comment>
    <comment ref="H177" authorId="0" shapeId="0" xr:uid="{7DE0080A-CA18-4EBE-B7BF-44A55EF2BFAE}">
      <text>
        <r>
          <rPr>
            <b/>
            <sz val="9"/>
            <color indexed="81"/>
            <rFont val="Tahoma"/>
            <family val="2"/>
          </rPr>
          <t>Chhaya Pathania:</t>
        </r>
        <r>
          <rPr>
            <sz val="9"/>
            <color indexed="81"/>
            <rFont val="Tahoma"/>
            <family val="2"/>
          </rPr>
          <t xml:space="preserve">
Source: Annual Report FY2026, KPI pg.19</t>
        </r>
      </text>
    </comment>
    <comment ref="D178" authorId="0" shapeId="0" xr:uid="{55580B96-74F9-4857-B7E7-81F86ED03404}">
      <text>
        <r>
          <rPr>
            <b/>
            <sz val="9"/>
            <color indexed="81"/>
            <rFont val="Tahoma"/>
            <family val="2"/>
          </rPr>
          <t>Chhaya Pathania:</t>
        </r>
        <r>
          <rPr>
            <sz val="9"/>
            <color indexed="81"/>
            <rFont val="Tahoma"/>
            <family val="2"/>
          </rPr>
          <t xml:space="preserve">
Source: Annual Report FY2023, MD&amp;A pg.77 (as at 31-Mar-2022)</t>
        </r>
      </text>
    </comment>
    <comment ref="E178" authorId="0" shapeId="0" xr:uid="{C96C67B1-E83A-4D33-86EB-80A679128F8C}">
      <text>
        <r>
          <rPr>
            <b/>
            <sz val="9"/>
            <color indexed="81"/>
            <rFont val="Tahoma"/>
            <family val="2"/>
          </rPr>
          <t>Chhaya Pathania:</t>
        </r>
        <r>
          <rPr>
            <sz val="9"/>
            <color indexed="81"/>
            <rFont val="Tahoma"/>
            <family val="2"/>
          </rPr>
          <t xml:space="preserve">
Source: Annual Report FY2023, MD&amp;A pg.77</t>
        </r>
      </text>
    </comment>
    <comment ref="F178" authorId="0" shapeId="0" xr:uid="{407BC8E2-22E8-4071-8F50-64B0ED2E8FBE}">
      <text>
        <r>
          <rPr>
            <b/>
            <sz val="9"/>
            <color indexed="81"/>
            <rFont val="Tahoma"/>
            <family val="2"/>
          </rPr>
          <t>Chhaya Pathania:</t>
        </r>
        <r>
          <rPr>
            <sz val="9"/>
            <color indexed="81"/>
            <rFont val="Tahoma"/>
            <family val="2"/>
          </rPr>
          <t xml:space="preserve">
Source: Annual Report FY2026, KPI pg.19</t>
        </r>
      </text>
    </comment>
    <comment ref="G178" authorId="0" shapeId="0" xr:uid="{52235C29-9656-4C89-8D3A-D776479FC322}">
      <text>
        <r>
          <rPr>
            <b/>
            <sz val="9"/>
            <color indexed="81"/>
            <rFont val="Tahoma"/>
            <family val="2"/>
          </rPr>
          <t>Chhaya Pathania:</t>
        </r>
        <r>
          <rPr>
            <sz val="9"/>
            <color indexed="81"/>
            <rFont val="Tahoma"/>
            <family val="2"/>
          </rPr>
          <t xml:space="preserve">
Source: Annual Report FY2026, KPI pg.19 / FY2025 AR pg.34</t>
        </r>
      </text>
    </comment>
    <comment ref="H178" authorId="0" shapeId="0" xr:uid="{FACA8549-1358-422E-A23D-22E1CECB2F94}">
      <text>
        <r>
          <rPr>
            <b/>
            <sz val="9"/>
            <color indexed="81"/>
            <rFont val="Tahoma"/>
            <family val="2"/>
          </rPr>
          <t>Chhaya Pathania:</t>
        </r>
        <r>
          <rPr>
            <sz val="9"/>
            <color indexed="81"/>
            <rFont val="Tahoma"/>
            <family val="2"/>
          </rPr>
          <t xml:space="preserve">
Source: Annual Report FY2026, KPI pg.19</t>
        </r>
      </text>
    </comment>
    <comment ref="D179" authorId="0" shapeId="0" xr:uid="{0B4001AC-382F-49A2-B5D3-DEBDAB865BE1}">
      <text>
        <r>
          <rPr>
            <b/>
            <sz val="9"/>
            <color indexed="81"/>
            <rFont val="Tahoma"/>
            <family val="2"/>
          </rPr>
          <t>Chhaya Pathania:</t>
        </r>
        <r>
          <rPr>
            <sz val="9"/>
            <color indexed="81"/>
            <rFont val="Tahoma"/>
            <family val="2"/>
          </rPr>
          <t xml:space="preserve">
Source: Annual Report FY2022, MD&amp;A pg.100</t>
        </r>
      </text>
    </comment>
    <comment ref="F179" authorId="0" shapeId="0" xr:uid="{7525347F-3AEE-4051-A8DA-715DB267ABD9}">
      <text>
        <r>
          <rPr>
            <b/>
            <sz val="9"/>
            <color indexed="81"/>
            <rFont val="Tahoma"/>
            <family val="2"/>
          </rPr>
          <t>Chhaya Pathania:</t>
        </r>
        <r>
          <rPr>
            <sz val="9"/>
            <color indexed="81"/>
            <rFont val="Tahoma"/>
            <family val="2"/>
          </rPr>
          <t xml:space="preserve">
Source: Annual Report FY2024, Board's Report pg.28</t>
        </r>
      </text>
    </comment>
    <comment ref="G179" authorId="0" shapeId="0" xr:uid="{090668CF-C574-41A7-B516-01C8637A16D0}">
      <text>
        <r>
          <rPr>
            <b/>
            <sz val="9"/>
            <color indexed="81"/>
            <rFont val="Tahoma"/>
            <family val="2"/>
          </rPr>
          <t>Chhaya Pathania:</t>
        </r>
        <r>
          <rPr>
            <sz val="9"/>
            <color indexed="81"/>
            <rFont val="Tahoma"/>
            <family val="2"/>
          </rPr>
          <t xml:space="preserve">
Source: Annual Report FY2025 pg.34 / FY2026 AR KPI pg.19</t>
        </r>
      </text>
    </comment>
    <comment ref="H179" authorId="0" shapeId="0" xr:uid="{879FB8B1-56C3-4B74-8BE2-30FF8F3745B9}">
      <text>
        <r>
          <rPr>
            <b/>
            <sz val="9"/>
            <color indexed="81"/>
            <rFont val="Tahoma"/>
            <family val="2"/>
          </rPr>
          <t>Chhaya Pathania:</t>
        </r>
        <r>
          <rPr>
            <sz val="9"/>
            <color indexed="81"/>
            <rFont val="Tahoma"/>
            <family val="2"/>
          </rPr>
          <t xml:space="preserve">
Source: Annual Report FY2026, Board's Report pg.35</t>
        </r>
      </text>
    </comment>
    <comment ref="F180" authorId="0" shapeId="0" xr:uid="{1E900074-1987-4F18-BD98-96058BB23C07}">
      <text>
        <r>
          <rPr>
            <b/>
            <sz val="9"/>
            <color indexed="81"/>
            <rFont val="Tahoma"/>
            <family val="2"/>
          </rPr>
          <t>Source: Annual Report FY2026, KPI pg.19</t>
        </r>
      </text>
    </comment>
    <comment ref="G180" authorId="0" shapeId="0" xr:uid="{2F246935-D2A6-4D97-967E-09E1809D7E0C}">
      <text>
        <r>
          <rPr>
            <b/>
            <sz val="9"/>
            <color indexed="81"/>
            <rFont val="Tahoma"/>
            <family val="2"/>
          </rPr>
          <t>Source: Annual Report FY2026, KPI pg.19</t>
        </r>
      </text>
    </comment>
    <comment ref="H180" authorId="0" shapeId="0" xr:uid="{8D9BF94D-0013-4CE6-8EEC-D089758AA481}">
      <text>
        <r>
          <rPr>
            <b/>
            <sz val="9"/>
            <color indexed="81"/>
            <rFont val="Tahoma"/>
            <family val="2"/>
          </rPr>
          <t>Source: Annual Report FY2026, KPI pg.19</t>
        </r>
      </text>
    </comment>
    <comment ref="E183" authorId="0" shapeId="0" xr:uid="{AD15ED22-B800-4411-864D-921D447A832B}">
      <text>
        <r>
          <rPr>
            <b/>
            <sz val="9"/>
            <color indexed="81"/>
            <rFont val="Tahoma"/>
            <family val="2"/>
          </rPr>
          <t>Source: Annual Report FY2024, Board's Report pg.28</t>
        </r>
      </text>
    </comment>
    <comment ref="F183" authorId="0" shapeId="0" xr:uid="{F9B97F79-AEAF-4F80-8265-1BCE20F30C28}">
      <text>
        <r>
          <rPr>
            <b/>
            <sz val="9"/>
            <color indexed="81"/>
            <rFont val="Tahoma"/>
            <family val="2"/>
          </rPr>
          <t>Source: Annual Report FY2024, Board's Report pg.28</t>
        </r>
      </text>
    </comment>
    <comment ref="G183" authorId="0" shapeId="0" xr:uid="{9B5C89B4-735B-4C58-A8D4-EA48BFCBFB81}">
      <text>
        <r>
          <rPr>
            <b/>
            <sz val="9"/>
            <color indexed="81"/>
            <rFont val="Tahoma"/>
            <family val="2"/>
          </rPr>
          <t>Source: Annual Report FY2026, Board's Report pg.35</t>
        </r>
      </text>
    </comment>
    <comment ref="H183" authorId="0" shapeId="0" xr:uid="{F6D3992A-8B39-443E-982E-8739243C8D92}">
      <text>
        <r>
          <rPr>
            <b/>
            <sz val="9"/>
            <color indexed="81"/>
            <rFont val="Tahoma"/>
            <family val="2"/>
          </rPr>
          <t>Source: Annual Report FY2026, Board's Report pg.35</t>
        </r>
      </text>
    </comment>
    <comment ref="E184" authorId="0" shapeId="0" xr:uid="{7A76055C-2081-4C13-8609-D4E04A98E2DC}">
      <text>
        <r>
          <rPr>
            <b/>
            <sz val="9"/>
            <color indexed="81"/>
            <rFont val="Tahoma"/>
            <family val="2"/>
          </rPr>
          <t>Source: Annual Report FY2024, Board's Report pg.28</t>
        </r>
      </text>
    </comment>
    <comment ref="F184" authorId="0" shapeId="0" xr:uid="{9ABF3F93-9B99-4DE2-9DD8-2613D990A98D}">
      <text>
        <r>
          <rPr>
            <b/>
            <sz val="9"/>
            <color indexed="81"/>
            <rFont val="Tahoma"/>
            <family val="2"/>
          </rPr>
          <t>Source: Annual Report FY2024, Board's Report pg.28</t>
        </r>
      </text>
    </comment>
    <comment ref="G184" authorId="0" shapeId="0" xr:uid="{A7718F1D-DC97-48FA-BD4B-3F30F4D50260}">
      <text>
        <r>
          <rPr>
            <b/>
            <sz val="9"/>
            <color indexed="81"/>
            <rFont val="Tahoma"/>
            <family val="2"/>
          </rPr>
          <t>Source: Annual Report FY2026, Board's Report pg.35</t>
        </r>
      </text>
    </comment>
    <comment ref="H184" authorId="0" shapeId="0" xr:uid="{717EA986-C692-4F0E-A2E0-7757EA0FCE82}">
      <text>
        <r>
          <rPr>
            <b/>
            <sz val="9"/>
            <color indexed="81"/>
            <rFont val="Tahoma"/>
            <family val="2"/>
          </rPr>
          <t>Source: Annual Report FY2026, Board's Report pg.35</t>
        </r>
      </text>
    </comment>
    <comment ref="D185" authorId="0" shapeId="0" xr:uid="{1158A5DE-FD57-4415-9A6F-F20D305F079B}">
      <text>
        <r>
          <rPr>
            <b/>
            <sz val="9"/>
            <color indexed="81"/>
            <rFont val="Tahoma"/>
            <family val="2"/>
          </rPr>
          <t>Source: Annual Report FY2023, MD&amp;A pg.77 (FY22)</t>
        </r>
      </text>
    </comment>
    <comment ref="E185" authorId="0" shapeId="0" xr:uid="{A118EC64-E4F0-4EFC-AF51-8ABDEA7230C1}">
      <text>
        <r>
          <rPr>
            <b/>
            <sz val="9"/>
            <color indexed="81"/>
            <rFont val="Tahoma"/>
            <family val="2"/>
          </rPr>
          <t>Source: Annual Report FY2023, MD&amp;A pg.77</t>
        </r>
      </text>
    </comment>
    <comment ref="F185" authorId="0" shapeId="0" xr:uid="{8ADDEA78-2864-4B05-B1A2-1724E9039CC3}">
      <text>
        <r>
          <rPr>
            <b/>
            <sz val="9"/>
            <color indexed="81"/>
            <rFont val="Tahoma"/>
            <family val="2"/>
          </rPr>
          <t>Chhaya Pathania:</t>
        </r>
        <r>
          <rPr>
            <sz val="9"/>
            <color indexed="81"/>
            <rFont val="Tahoma"/>
            <family val="2"/>
          </rPr>
          <t xml:space="preserve">
Computed: Opex ÷ Net Interest Income (row 31 ÷ row 15), consistent with the Company's own methodology</t>
        </r>
      </text>
    </comment>
    <comment ref="H185" authorId="0" shapeId="0" xr:uid="{6AAB1682-49B6-41EA-B942-D2179FECD444}">
      <text>
        <r>
          <rPr>
            <b/>
            <sz val="9"/>
            <color indexed="81"/>
            <rFont val="Tahoma"/>
            <family val="2"/>
          </rPr>
          <t>Cross-check: Company disclosed "Opex to net income improved to 52.01% for FY26" (AR FY2026 pg.2) — matches this formula's result</t>
        </r>
      </text>
    </comment>
    <comment ref="F186" authorId="0" shapeId="0" xr:uid="{287DBC41-C7E6-419C-A9D0-C011FF661F73}">
      <text>
        <r>
          <rPr>
            <b/>
            <sz val="9"/>
            <color indexed="81"/>
            <rFont val="Tahoma"/>
            <family val="2"/>
          </rPr>
          <t>Source: Annual Report FY2026, KPI pg.19</t>
        </r>
      </text>
    </comment>
    <comment ref="G186" authorId="0" shapeId="0" xr:uid="{26FE8046-CA02-41E0-9882-C5A10ADC36B0}">
      <text>
        <r>
          <rPr>
            <b/>
            <sz val="9"/>
            <color indexed="81"/>
            <rFont val="Tahoma"/>
            <family val="2"/>
          </rPr>
          <t>Source: Annual Report FY2026, KPI pg.19</t>
        </r>
      </text>
    </comment>
    <comment ref="H186" authorId="0" shapeId="0" xr:uid="{7A55FC1B-AF90-4F70-8744-7F0CE802A00C}">
      <text>
        <r>
          <rPr>
            <b/>
            <sz val="9"/>
            <color indexed="81"/>
            <rFont val="Tahoma"/>
            <family val="2"/>
          </rPr>
          <t>Source: Annual Report FY2026, KPI pg.19</t>
        </r>
      </text>
    </comment>
    <comment ref="C189" authorId="0" shapeId="0" xr:uid="{33229E42-086C-4909-B4FA-07F73D6B72B8}">
      <text>
        <r>
          <rPr>
            <b/>
            <sz val="9"/>
            <color indexed="81"/>
            <rFont val="Tahoma"/>
            <family val="2"/>
          </rPr>
          <t>Chhaya Pathania:</t>
        </r>
        <r>
          <rPr>
            <sz val="9"/>
            <color indexed="81"/>
            <rFont val="Tahoma"/>
            <family val="2"/>
          </rPr>
          <t xml:space="preserve">
Source: Q1 FY27 Earnings Call Transcript, 17-Jul-2026. AUM as of 30-Jun-2026; +11.1% QoQ vs. Mar-2026.</t>
        </r>
      </text>
    </comment>
    <comment ref="C190" authorId="0" shapeId="0" xr:uid="{76047AF9-49A6-4D3C-97A5-CA1DDF6A50BF}">
      <text>
        <r>
          <rPr>
            <b/>
            <sz val="9"/>
            <color indexed="81"/>
            <rFont val="Tahoma"/>
            <family val="2"/>
          </rPr>
          <t>Chhaya Pathania:</t>
        </r>
        <r>
          <rPr>
            <sz val="9"/>
            <color indexed="81"/>
            <rFont val="Tahoma"/>
            <family val="2"/>
          </rPr>
          <t xml:space="preserve">
Source: Q1 FY27 Earnings Call Transcript, 17-Jul-2026.</t>
        </r>
      </text>
    </comment>
    <comment ref="C191" authorId="0" shapeId="0" xr:uid="{CD8BE062-8A15-4B80-8481-7F4207E190F3}">
      <text>
        <r>
          <rPr>
            <b/>
            <sz val="9"/>
            <color indexed="81"/>
            <rFont val="Tahoma"/>
            <family val="2"/>
          </rPr>
          <t>Chhaya Pathania:</t>
        </r>
        <r>
          <rPr>
            <sz val="9"/>
            <color indexed="81"/>
            <rFont val="Tahoma"/>
            <family val="2"/>
          </rPr>
          <t xml:space="preserve">
Source: Q1 FY27 Earnings Call Transcript, 17-Jul-2026.</t>
        </r>
      </text>
    </comment>
    <comment ref="C192" authorId="0" shapeId="0" xr:uid="{2E630B78-1963-41A8-9044-509E1E423487}">
      <text>
        <r>
          <rPr>
            <b/>
            <sz val="9"/>
            <color indexed="81"/>
            <rFont val="Tahoma"/>
            <family val="2"/>
          </rPr>
          <t>Chhaya Pathania:</t>
        </r>
        <r>
          <rPr>
            <sz val="9"/>
            <color indexed="81"/>
            <rFont val="Tahoma"/>
            <family val="2"/>
          </rPr>
          <t xml:space="preserve">
Source: Q1 FY27 Earnings Call Transcript, 17-Jul-2026.</t>
        </r>
      </text>
    </comment>
    <comment ref="C193" authorId="0" shapeId="0" xr:uid="{75B01EA4-6A6B-4387-B5D0-DE92966F05AB}">
      <text>
        <r>
          <rPr>
            <b/>
            <sz val="9"/>
            <color indexed="81"/>
            <rFont val="Tahoma"/>
            <family val="2"/>
          </rPr>
          <t>Chhaya Pathania:</t>
        </r>
        <r>
          <rPr>
            <sz val="9"/>
            <color indexed="81"/>
            <rFont val="Tahoma"/>
            <family val="2"/>
          </rPr>
          <t xml:space="preserve">
Source: Q1 FY27 Earnings Call Transcript, 17-Jul-2026.</t>
        </r>
      </text>
    </comment>
    <comment ref="K193" authorId="0" shapeId="0" xr:uid="{1897A161-F51A-4800-9175-2EA3B7AFA910}">
      <text>
        <r>
          <rPr>
            <b/>
            <sz val="9"/>
            <color indexed="81"/>
            <rFont val="Tahoma"/>
            <family val="2"/>
          </rPr>
          <t>Chhaya Pathania:</t>
        </r>
        <r>
          <rPr>
            <sz val="9"/>
            <color indexed="81"/>
            <rFont val="Tahoma"/>
            <family val="2"/>
          </rPr>
          <t xml:space="preserve">
Source: Annual Report FY2024, MD&amp;A — PAT excluding exceptional items. Reported PAT of ₹2,055.96 Cr for FY24 included a one-off ₹1,221.20 Cr exceptional gain on the Poonawalla Housing Finance stake sale.</t>
        </r>
      </text>
    </comment>
    <comment ref="C194" authorId="0" shapeId="0" xr:uid="{BAE795A4-C0F2-4BD4-8F21-D59D2DF44D18}">
      <text>
        <r>
          <rPr>
            <b/>
            <sz val="9"/>
            <color indexed="81"/>
            <rFont val="Tahoma"/>
            <family val="2"/>
          </rPr>
          <t>Chhaya Pathania:</t>
        </r>
        <r>
          <rPr>
            <sz val="9"/>
            <color indexed="81"/>
            <rFont val="Tahoma"/>
            <family val="2"/>
          </rPr>
          <t xml:space="preserve">
Source: Q1 FY27 Earnings Call Transcript, 17-Jul-2026.</t>
        </r>
      </text>
    </comment>
    <comment ref="C195" authorId="0" shapeId="0" xr:uid="{456D2483-5074-4A85-A9AE-0E2199E222B5}">
      <text>
        <r>
          <rPr>
            <b/>
            <sz val="9"/>
            <color indexed="81"/>
            <rFont val="Tahoma"/>
            <family val="2"/>
          </rPr>
          <t>Chhaya Pathania:</t>
        </r>
        <r>
          <rPr>
            <sz val="9"/>
            <color indexed="81"/>
            <rFont val="Tahoma"/>
            <family val="2"/>
          </rPr>
          <t xml:space="preserve">
Source: Q1 FY27 Earnings Call Transcript, 17-Jul-2026. +20.8% QoQ, +391.5% YoY.</t>
        </r>
      </text>
    </comment>
    <comment ref="C196" authorId="0" shapeId="0" xr:uid="{1A80D027-E156-41E4-8D65-CDD09C15A8DC}">
      <text>
        <r>
          <rPr>
            <b/>
            <sz val="9"/>
            <color indexed="81"/>
            <rFont val="Tahoma"/>
            <family val="2"/>
          </rPr>
          <t>Chhaya Pathania:</t>
        </r>
        <r>
          <rPr>
            <sz val="9"/>
            <color indexed="81"/>
            <rFont val="Tahoma"/>
            <family val="2"/>
          </rPr>
          <t xml:space="preserve">
Source: Q1 FY27 Earnings Call Transcript, 17-Jul-2026. +17bps QoQ, +130bps YoY.</t>
        </r>
      </text>
    </comment>
    <comment ref="C197" authorId="0" shapeId="0" xr:uid="{8ED01DD2-FF18-4F02-A665-794F5B9B4FEF}">
      <text>
        <r>
          <rPr>
            <b/>
            <sz val="9"/>
            <color indexed="81"/>
            <rFont val="Tahoma"/>
            <family val="2"/>
          </rPr>
          <t>Chhaya Pathania:</t>
        </r>
        <r>
          <rPr>
            <sz val="9"/>
            <color indexed="81"/>
            <rFont val="Tahoma"/>
            <family val="2"/>
          </rPr>
          <t xml:space="preserve">
Source: Q1 FY27 Earnings Call Transcript, 17-Jul-2026. +12.9% QoQ.</t>
        </r>
      </text>
    </comment>
    <comment ref="C198" authorId="0" shapeId="0" xr:uid="{309A734B-E012-4152-B1E9-FBB292029FAB}">
      <text>
        <r>
          <rPr>
            <b/>
            <sz val="9"/>
            <color indexed="81"/>
            <rFont val="Tahoma"/>
            <family val="2"/>
          </rPr>
          <t>Chhaya Pathania:</t>
        </r>
        <r>
          <rPr>
            <sz val="9"/>
            <color indexed="81"/>
            <rFont val="Tahoma"/>
            <family val="2"/>
          </rPr>
          <t xml:space="preserve">
Source: Q1 FY27 Earnings Call Transcript, 17-Jul-2026.</t>
        </r>
      </text>
    </comment>
    <comment ref="C199" authorId="0" shapeId="0" xr:uid="{7078DF80-B22D-4342-945A-FB4C5E1EEA38}">
      <text>
        <r>
          <rPr>
            <b/>
            <sz val="9"/>
            <color indexed="81"/>
            <rFont val="Tahoma"/>
            <family val="2"/>
          </rPr>
          <t>Chhaya Pathania:</t>
        </r>
        <r>
          <rPr>
            <sz val="9"/>
            <color indexed="81"/>
            <rFont val="Tahoma"/>
            <family val="2"/>
          </rPr>
          <t xml:space="preserve">
Source: Q1 FY27 Earnings Call Transcript, 17-Jul-2026.</t>
        </r>
      </text>
    </comment>
    <comment ref="C200" authorId="0" shapeId="0" xr:uid="{BF9E2D00-39A5-41B4-863D-64212DFEF105}">
      <text>
        <r>
          <rPr>
            <b/>
            <sz val="9"/>
            <color indexed="81"/>
            <rFont val="Tahoma"/>
            <family val="2"/>
          </rPr>
          <t>Chhaya Pathania:</t>
        </r>
        <r>
          <rPr>
            <sz val="9"/>
            <color indexed="81"/>
            <rFont val="Tahoma"/>
            <family val="2"/>
          </rPr>
          <t xml:space="preserve">
Source: Q1 FY27 Earnings Call Transcript, 17-Jul-2026.</t>
        </r>
      </text>
    </comment>
    <comment ref="C201" authorId="0" shapeId="0" xr:uid="{436F9E87-2895-487A-A930-1F1CE8B9E576}">
      <text>
        <r>
          <rPr>
            <b/>
            <sz val="9"/>
            <color indexed="81"/>
            <rFont val="Tahoma"/>
            <family val="2"/>
          </rPr>
          <t>Chhaya Pathania:</t>
        </r>
        <r>
          <rPr>
            <sz val="9"/>
            <color indexed="81"/>
            <rFont val="Tahoma"/>
            <family val="2"/>
          </rPr>
          <t xml:space="preserve">
Source: Q1 FY27 Earnings Call Transcript, 17-Jul-2026.</t>
        </r>
      </text>
    </comment>
    <comment ref="C204" authorId="0" shapeId="0" xr:uid="{8042397C-C1A4-4C91-A8EB-00204CEF9F91}">
      <text>
        <r>
          <rPr>
            <b/>
            <sz val="9"/>
            <color indexed="81"/>
            <rFont val="Tahoma"/>
            <family val="2"/>
          </rPr>
          <t>Chhaya Pathania:</t>
        </r>
        <r>
          <rPr>
            <sz val="9"/>
            <color indexed="81"/>
            <rFont val="Tahoma"/>
            <family val="2"/>
          </rPr>
          <t xml:space="preserve">
Source: Q1 FY27 Earnings Call Transcript, 17-Jul-2026. Management guided an ROA exit of 3.0%-3.5% by June 2028 (8 quarters from Q1 FY27's 1.98%).</t>
        </r>
      </text>
    </comment>
    <comment ref="C205" authorId="0" shapeId="0" xr:uid="{6FAC7544-A287-4681-801A-B563C33C25B4}">
      <text>
        <r>
          <rPr>
            <b/>
            <sz val="9"/>
            <color indexed="81"/>
            <rFont val="Tahoma"/>
            <family val="2"/>
          </rPr>
          <t>Chhaya Pathania:</t>
        </r>
        <r>
          <rPr>
            <sz val="9"/>
            <color indexed="81"/>
            <rFont val="Tahoma"/>
            <family val="2"/>
          </rPr>
          <t xml:space="preserve">
Source: Q1 FY27 Earnings Call Transcript, 17-Jul-2026.</t>
        </r>
      </text>
    </comment>
    <comment ref="C206" authorId="0" shapeId="0" xr:uid="{90967B0D-220D-4DF3-9F20-7A60A00BDFAE}">
      <text>
        <r>
          <rPr>
            <b/>
            <sz val="9"/>
            <color indexed="81"/>
            <rFont val="Tahoma"/>
            <family val="2"/>
          </rPr>
          <t>Chhaya Pathania:</t>
        </r>
        <r>
          <rPr>
            <sz val="9"/>
            <color indexed="81"/>
            <rFont val="Tahoma"/>
            <family val="2"/>
          </rPr>
          <t xml:space="preserve">
Source: Q1 FY27 Earnings Call Transcript, 17-Jul-2026. From current 53:47.</t>
        </r>
      </text>
    </comment>
    <comment ref="C207" authorId="0" shapeId="0" xr:uid="{133B9AAC-9E04-4B9A-A096-B8A55D3C9B65}">
      <text>
        <r>
          <rPr>
            <b/>
            <sz val="9"/>
            <color indexed="81"/>
            <rFont val="Tahoma"/>
            <family val="2"/>
          </rPr>
          <t>Chhaya Pathania:</t>
        </r>
        <r>
          <rPr>
            <sz val="9"/>
            <color indexed="81"/>
            <rFont val="Tahoma"/>
            <family val="2"/>
          </rPr>
          <t xml:space="preserve">
Source: Q1 FY27 Earnings Call Transcript, 17-Jul-2026. Similar pace to FY26's build-out.</t>
        </r>
      </text>
    </comment>
    <comment ref="B208" authorId="0" shapeId="0" xr:uid="{F2ED7A30-82DE-4F7E-8CB1-FF94A40E3DDE}">
      <text>
        <r>
          <rPr>
            <b/>
            <sz val="9"/>
            <color indexed="81"/>
            <rFont val="Tahoma"/>
            <family val="2"/>
          </rPr>
          <t>This workbook's Base Case (KPIs &amp; Ratios tab) reaches ~2.8% average ROA by FY2029E — below guidance, reflecting the analyst's independent, more conservative glide path. The Upside scenario (Scenario Analysis tab, toggle to "Upside") reaches ~3.4-3.5% average ROA by FY2028E-FY2029E, closely tracking management's stated exit guidance. See KPIs &amp; Ratios!B87:M91 for the guidance cross-check.</t>
        </r>
      </text>
    </comment>
    <comment ref="K241" authorId="0" shapeId="0" xr:uid="{6416FE4A-5F1F-4BFC-82CC-BD3743CD04B6}">
      <text>
        <r>
          <rPr>
            <b/>
            <sz val="9"/>
            <color indexed="81"/>
            <rFont val="Tahoma"/>
            <family val="2"/>
          </rPr>
          <t>Chhaya Pathania:</t>
        </r>
        <r>
          <rPr>
            <sz val="9"/>
            <color indexed="81"/>
            <rFont val="Tahoma"/>
            <family val="2"/>
          </rPr>
          <t xml:space="preserve">
Approximation: since true regulatory CRAR requires a risk-weighted-assets methodology not modelled here, forecast years are proxied by the Equity/Total Assets % trend (KPIs &amp; Ratios row 53), anchored to the FY2026A CRAR level (16.83%). Not a substitute for a real capital-adequacy calculation.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Chhaya Pathania</author>
    <author>tc={191E0CEA-A91C-4ABE-9479-3C7ED06B161F}</author>
  </authors>
  <commentList>
    <comment ref="C12" authorId="0" shapeId="0" xr:uid="{61091267-1824-4AAD-A913-2457FC73F887}">
      <text>
        <r>
          <rPr>
            <b/>
            <sz val="9"/>
            <color indexed="81"/>
            <rFont val="Tahoma"/>
            <family val="2"/>
          </rPr>
          <t>Chhaya Pathania:</t>
        </r>
        <r>
          <rPr>
            <sz val="9"/>
            <color indexed="81"/>
            <rFont val="Tahoma"/>
            <family val="2"/>
          </rPr>
          <t xml:space="preserve">
Source: Annual Report FY2021, MD&amp;A pg.65 ("the consolidated disbursements declined from ₹6,42,832 lakh in FY2019-20 to ₹3,68,021 lakh in FY2020-21") = ₹3,680.21 Cr.</t>
        </r>
      </text>
    </comment>
    <comment ref="D12" authorId="0" shapeId="0" xr:uid="{6DF942D6-8A88-40E5-8B98-C0C8F86AC09F}">
      <text>
        <r>
          <rPr>
            <b/>
            <sz val="9"/>
            <color indexed="81"/>
            <rFont val="Tahoma"/>
            <family val="2"/>
          </rPr>
          <t>Chhaya Pathania:</t>
        </r>
        <r>
          <rPr>
            <sz val="9"/>
            <color indexed="81"/>
            <rFont val="Tahoma"/>
            <family val="2"/>
          </rPr>
          <t xml:space="preserve">
Source: Annual Report FY2023, MD&amp;A pg.77 (FY22 disbursements)</t>
        </r>
      </text>
    </comment>
    <comment ref="E12" authorId="0" shapeId="0" xr:uid="{CE2E5CFB-E0D4-4F63-A37D-BB6FCB7DF7CE}">
      <text>
        <r>
          <rPr>
            <b/>
            <sz val="9"/>
            <color indexed="81"/>
            <rFont val="Tahoma"/>
            <family val="2"/>
          </rPr>
          <t>Chhaya Pathania:</t>
        </r>
        <r>
          <rPr>
            <sz val="9"/>
            <color indexed="81"/>
            <rFont val="Tahoma"/>
            <family val="2"/>
          </rPr>
          <t xml:space="preserve">
Source: Annual Report FY2023, MD&amp;A pg.77</t>
        </r>
      </text>
    </comment>
    <comment ref="F12" authorId="0" shapeId="0" xr:uid="{466F559D-ACE0-4EB3-A9D9-E0E10499766D}">
      <text>
        <r>
          <rPr>
            <b/>
            <sz val="9"/>
            <color indexed="81"/>
            <rFont val="Tahoma"/>
            <family val="2"/>
          </rPr>
          <t>Chhaya Pathania:</t>
        </r>
        <r>
          <rPr>
            <sz val="9"/>
            <color indexed="81"/>
            <rFont val="Tahoma"/>
            <family val="2"/>
          </rPr>
          <t xml:space="preserve">
Source: Annual Report FY2024, Snapshot pg.10-11 (“highest annual disbursement of ₹33,289 Crore, 111.34% increase YoY”)</t>
        </r>
      </text>
    </comment>
    <comment ref="G12" authorId="0" shapeId="0" xr:uid="{2914D73E-CDD9-4F98-926F-AC1EFE37F0BC}">
      <text>
        <r>
          <rPr>
            <b/>
            <sz val="9"/>
            <color indexed="81"/>
            <rFont val="Tahoma"/>
            <family val="2"/>
          </rPr>
          <t>Chhaya Pathania:</t>
        </r>
        <r>
          <rPr>
            <sz val="9"/>
            <color indexed="81"/>
            <rFont val="Tahoma"/>
            <family val="2"/>
          </rPr>
          <t xml:space="preserve">
Not disclosed: neither the FY2025 nor FY2026 Annual Report states a total company-wide annual disbursement figure (₹ Cr) in a headline/comparable format — both reports disclose only product-level monthly run-rates (e.g., "Prime Personal Loan disbursements reaching ₹460 Crore in March 2026") rather than a full-year total. Left blank rather than estimated.</t>
        </r>
      </text>
    </comment>
    <comment ref="H12" authorId="0" shapeId="0" xr:uid="{7073462F-59BA-416C-AAC7-231981834843}">
      <text>
        <r>
          <rPr>
            <b/>
            <sz val="9"/>
            <color indexed="81"/>
            <rFont val="Tahoma"/>
            <family val="2"/>
          </rPr>
          <t>Chhaya Pathania:</t>
        </r>
        <r>
          <rPr>
            <sz val="9"/>
            <color indexed="81"/>
            <rFont val="Tahoma"/>
            <family val="2"/>
          </rPr>
          <t xml:space="preserve">
Not disclosed — see note on G13. Left blank rather than estimated.</t>
        </r>
      </text>
    </comment>
    <comment ref="H17" authorId="0" shapeId="0" xr:uid="{4371F0E0-0A33-4373-B77E-F15E9B8CC468}">
      <text>
        <r>
          <rPr>
            <b/>
            <sz val="9"/>
            <color indexed="81"/>
            <rFont val="Tahoma"/>
            <family val="2"/>
          </rPr>
          <t>Chhaya Pathania:</t>
        </r>
        <r>
          <rPr>
            <sz val="9"/>
            <color indexed="81"/>
            <rFont val="Tahoma"/>
            <family val="2"/>
          </rPr>
          <t xml:space="preserve">
Source: Annual Report FY2026 pg.35/63 ("diversified suite of 13 loan products")</t>
        </r>
      </text>
    </comment>
    <comment ref="I17" authorId="0" shapeId="0" xr:uid="{36E8F061-7DD9-4C39-A28F-759379215256}">
      <text>
        <r>
          <rPr>
            <b/>
            <sz val="9"/>
            <color indexed="81"/>
            <rFont val="Tahoma"/>
            <family val="2"/>
          </rPr>
          <t>Chhaya Pathania:</t>
        </r>
        <r>
          <rPr>
            <sz val="9"/>
            <color indexed="81"/>
            <rFont val="Tahoma"/>
            <family val="2"/>
          </rPr>
          <t xml:space="preserve">
Number of loan products is a static count (13 as of FY2026A, AR pg.35/63); no forecast driver modeled — left blank rather than assumed.</t>
        </r>
      </text>
    </comment>
    <comment ref="I18" authorId="0" shapeId="0" xr:uid="{791CC221-A9F2-4543-A9A9-4AEFCEBB7B0F}">
      <text>
        <r>
          <rPr>
            <b/>
            <sz val="9"/>
            <color indexed="81"/>
            <rFont val="Tahoma"/>
            <family val="2"/>
          </rPr>
          <t>Customer Analytics tab (illustrative cross-sell rate) does not extend to forecast years — left blank rather than estimated.</t>
        </r>
      </text>
    </comment>
    <comment ref="F38" authorId="0" shapeId="0" xr:uid="{8253D0D7-A1D2-4220-BFAD-66AB94BA6334}">
      <text>
        <r>
          <rPr>
            <b/>
            <sz val="9"/>
            <color indexed="81"/>
            <rFont val="Tahoma"/>
            <family val="2"/>
          </rPr>
          <t>Chhaya Pathania:</t>
        </r>
        <r>
          <rPr>
            <sz val="9"/>
            <color indexed="81"/>
            <rFont val="Tahoma"/>
            <family val="2"/>
          </rPr>
          <t xml:space="preserve">
Source: Annual Report FY2024 pg.20 ("Secured portfolio 49% / Unsecured portfolio 51%", current mix)</t>
        </r>
      </text>
    </comment>
    <comment ref="G38" authorId="0" shapeId="0" xr:uid="{5E9AFFF8-B882-4024-8544-D1E08BE59051}">
      <text>
        <r>
          <rPr>
            <b/>
            <sz val="9"/>
            <color indexed="81"/>
            <rFont val="Tahoma"/>
            <family val="2"/>
          </rPr>
          <t>Chhaya Pathania:</t>
        </r>
        <r>
          <rPr>
            <sz val="9"/>
            <color indexed="81"/>
            <rFont val="Tahoma"/>
            <family val="2"/>
          </rPr>
          <t xml:space="preserve">
Source: Annual Report FY2025 pg.24 ("Balanced secured–unsecured on book asset mix (57:43) as on March 31, 2025")</t>
        </r>
      </text>
    </comment>
    <comment ref="H38" authorId="0" shapeId="0" xr:uid="{A871DBFA-90E6-4AAF-9FD5-F343747EFB8B}">
      <text>
        <r>
          <rPr>
            <b/>
            <sz val="9"/>
            <color indexed="81"/>
            <rFont val="Tahoma"/>
            <family val="2"/>
          </rPr>
          <t>Chhaya Pathania:</t>
        </r>
        <r>
          <rPr>
            <sz val="9"/>
            <color indexed="81"/>
            <rFont val="Tahoma"/>
            <family val="2"/>
          </rPr>
          <t xml:space="preserve">
Source: Annual Report FY2026 pg.35/58 ("54% and 46% of our onbook AUM categorized as secured and unsecured lending as of March 31, 2026")</t>
        </r>
      </text>
    </comment>
    <comment ref="I38" authorId="0" shapeId="0" xr:uid="{91DD5ACC-4D8D-4FA8-9DED-6FBD82E082B8}">
      <text>
        <r>
          <rPr>
            <b/>
            <sz val="9"/>
            <color indexed="81"/>
            <rFont val="Tahoma"/>
            <family val="2"/>
          </rPr>
          <t>Chhaya Pathania:</t>
        </r>
        <r>
          <rPr>
            <sz val="9"/>
            <color indexed="81"/>
            <rFont val="Tahoma"/>
            <family val="2"/>
          </rPr>
          <t xml:space="preserve">
Illustrative glide toward management's stated medium-term 50:50 secured:unsecured target (Q1 FY27 earnings call, 17-Jul-2026, from 53:47 as of Jun-2026); not a company-disclosed forecast.</t>
        </r>
      </text>
    </comment>
    <comment ref="J38" authorId="0" shapeId="0" xr:uid="{68D24060-E035-4F56-8C7A-35BD7FCE60AF}">
      <text>
        <r>
          <rPr>
            <b/>
            <sz val="9"/>
            <color indexed="81"/>
            <rFont val="Tahoma"/>
            <family val="2"/>
          </rPr>
          <t>Chhaya Pathania:</t>
        </r>
        <r>
          <rPr>
            <sz val="9"/>
            <color indexed="81"/>
            <rFont val="Tahoma"/>
            <family val="2"/>
          </rPr>
          <t xml:space="preserve">
Illustrative glide toward the 50:50 medium-term target.</t>
        </r>
      </text>
    </comment>
    <comment ref="K38" authorId="0" shapeId="0" xr:uid="{BDFBF1CE-0103-4487-8D97-E556E0F9FA76}">
      <text>
        <r>
          <rPr>
            <b/>
            <sz val="9"/>
            <color indexed="81"/>
            <rFont val="Tahoma"/>
            <family val="2"/>
          </rPr>
          <t>Chhaya Pathania:</t>
        </r>
        <r>
          <rPr>
            <sz val="9"/>
            <color indexed="81"/>
            <rFont val="Tahoma"/>
            <family val="2"/>
          </rPr>
          <t xml:space="preserve">
Illustrative glide toward the 50:50 medium-term target.</t>
        </r>
      </text>
    </comment>
    <comment ref="L38" authorId="0" shapeId="0" xr:uid="{D400E8E9-C547-42A1-AF75-B54C605EAF00}">
      <text>
        <r>
          <rPr>
            <b/>
            <sz val="9"/>
            <color indexed="81"/>
            <rFont val="Tahoma"/>
            <family val="2"/>
          </rPr>
          <t>Chhaya Pathania:</t>
        </r>
        <r>
          <rPr>
            <sz val="9"/>
            <color indexed="81"/>
            <rFont val="Tahoma"/>
            <family val="2"/>
          </rPr>
          <t xml:space="preserve">
Illustrative — reaches management's stated 50:50 medium-term target.</t>
        </r>
      </text>
    </comment>
    <comment ref="M38" authorId="0" shapeId="0" xr:uid="{EE65FD0C-31AE-4A13-A62B-CC1172D2E4EA}">
      <text>
        <r>
          <rPr>
            <b/>
            <sz val="9"/>
            <color indexed="81"/>
            <rFont val="Tahoma"/>
            <family val="2"/>
          </rPr>
          <t>Chhaya Pathania:</t>
        </r>
        <r>
          <rPr>
            <sz val="9"/>
            <color indexed="81"/>
            <rFont val="Tahoma"/>
            <family val="2"/>
          </rPr>
          <t xml:space="preserve">
Illustrative — held at the 50:50 medium-term target.</t>
        </r>
      </text>
    </comment>
    <comment ref="C53" authorId="0" shapeId="0" xr:uid="{B8E6595F-F74D-4C89-BE3F-D93EDD6686E9}">
      <text>
        <r>
          <rPr>
            <b/>
            <sz val="9"/>
            <color indexed="81"/>
            <rFont val="Tahoma"/>
            <family val="2"/>
          </rPr>
          <t>Chhaya Pathania:</t>
        </r>
        <r>
          <rPr>
            <sz val="9"/>
            <color indexed="81"/>
            <rFont val="Tahoma"/>
            <family val="2"/>
          </rPr>
          <t xml:space="preserve">
FY2021 CRAR not disclosed in Executive Dashboard's cited source set — shows blank rather than a misleading 0.00.</t>
        </r>
      </text>
    </comment>
    <comment ref="E53" authorId="0" shapeId="0" xr:uid="{3FFE752A-333C-4A0F-92E7-1D9003231DBF}">
      <text>
        <r>
          <rPr>
            <b/>
            <sz val="9"/>
            <color indexed="81"/>
            <rFont val="Tahoma"/>
            <family val="2"/>
          </rPr>
          <t>Chhaya Pathania:</t>
        </r>
        <r>
          <rPr>
            <sz val="9"/>
            <color indexed="81"/>
            <rFont val="Tahoma"/>
            <family val="2"/>
          </rPr>
          <t xml:space="preserve">
FY2023 CRAR not disclosed in Executive Dashboard's cited source set — shows blank rather than a misleading 0.00.</t>
        </r>
      </text>
    </comment>
    <comment ref="I53" authorId="0" shapeId="0" xr:uid="{4248F651-9C66-499A-957C-797B11358145}">
      <text>
        <r>
          <rPr>
            <b/>
            <sz val="9"/>
            <color indexed="81"/>
            <rFont val="Tahoma"/>
            <family val="2"/>
          </rPr>
          <t>FY27E-31E now computed on a proper risk-weighted basis — see the Regulatory Capital tab (product AUM × RBI standardised risk weights + operational risk charge, against Tier 1 + Tier 2 capital). This replaces the earlier Equity/Assets proxy.</t>
        </r>
      </text>
    </comment>
    <comment ref="H54" authorId="0" shapeId="0" xr:uid="{0B54F1EC-9AFF-4F87-AA4B-CA047E891C0F}">
      <text>
        <r>
          <rPr>
            <b/>
            <sz val="9"/>
            <color indexed="81"/>
            <rFont val="Tahoma"/>
            <family val="2"/>
          </rPr>
          <t>Chhaya Pathania:</t>
        </r>
        <r>
          <rPr>
            <sz val="9"/>
            <color indexed="81"/>
            <rFont val="Tahoma"/>
            <family val="2"/>
          </rPr>
          <t xml:space="preserve">
Source: Annual Report FY2026 pg.44 ("As at March 31, 2026, the LCR of the Company was 181%"). Not numerically disclosed for FY2021-FY2025 in these reports.</t>
        </r>
      </text>
    </comment>
    <comment ref="I54" authorId="0" shapeId="0" xr:uid="{28189774-11B2-457D-BC56-522B7215AE0C}">
      <text>
        <r>
          <rPr>
            <b/>
            <sz val="9"/>
            <color indexed="81"/>
            <rFont val="Tahoma"/>
            <family val="2"/>
          </rPr>
          <t>Chhaya Pathania:</t>
        </r>
        <r>
          <rPr>
            <sz val="9"/>
            <color indexed="81"/>
            <rFont val="Tahoma"/>
            <family val="2"/>
          </rPr>
          <t xml:space="preserve">
LCR is not modeled for forecast years (requires HQLA/net cash outflow projections beyond this model's scope) — left blank rather than estimated.</t>
        </r>
      </text>
    </comment>
    <comment ref="I55" authorId="0" shapeId="0" xr:uid="{970B5A5F-09FA-4D2B-8349-0F5F41299028}">
      <text>
        <r>
          <rPr>
            <b/>
            <sz val="9"/>
            <color indexed="81"/>
            <rFont val="Tahoma"/>
            <family val="2"/>
          </rPr>
          <t>Chhaya Pathania:</t>
        </r>
        <r>
          <rPr>
            <sz val="9"/>
            <color indexed="81"/>
            <rFont val="Tahoma"/>
            <family val="2"/>
          </rPr>
          <t xml:space="preserve">
Product Profitability tab's ROE (illustrative) is a FY2026A snapshot only and does not extend to forecast years — left blank rather than estimated.</t>
        </r>
      </text>
    </comment>
    <comment ref="C62" authorId="0" shapeId="0" xr:uid="{5133F0BA-9B14-4033-9833-7D4383D96D8C}">
      <text>
        <r>
          <rPr>
            <b/>
            <sz val="9"/>
            <color indexed="81"/>
            <rFont val="Tahoma"/>
            <family val="2"/>
          </rPr>
          <t>Chhaya Pathania:</t>
        </r>
        <r>
          <rPr>
            <sz val="9"/>
            <color indexed="81"/>
            <rFont val="Tahoma"/>
            <family val="2"/>
          </rPr>
          <t xml:space="preserve">
Source: Poonawalla Fincorp Annual Reports FY2023-FY2026, EPS note ("Face value of ₹2/- each")</t>
        </r>
      </text>
    </comment>
    <comment ref="I66" authorId="1" shapeId="0" xr:uid="{191E0CEA-A91C-4ABE-9479-3C7ED06B161F}">
      <text>
        <t>[Threaded comment]
Your version of Excel allows you to read this threaded comment; however, any edits to it will get removed if the file is opened in a newer version of Excel. Learn more: https://go.microsoft.com/fwlink/?linkid=870924
Comment:
    BVPS is flat across FY2027E-FY2031E by construction: the Balance Sheet forecast holds Equity Share Capital at a fixed proportion of Total Equity (row 52 formula), so shares outstanding scale exactly with total equity, mechanically fixing BVPS. This is a pre-existing Balance Sheet modeling simplification, not a new assumption introduced here.</t>
      </text>
    </comment>
    <comment ref="C69" authorId="0" shapeId="0" xr:uid="{90C452EA-A0AF-405D-AA83-750D53E861AB}">
      <text>
        <r>
          <rPr>
            <b/>
            <sz val="9"/>
            <color indexed="81"/>
            <rFont val="Tahoma"/>
            <family val="2"/>
          </rPr>
          <t>Chhaya Pathania:</t>
        </r>
        <r>
          <rPr>
            <sz val="9"/>
            <color indexed="81"/>
            <rFont val="Tahoma"/>
            <family val="2"/>
          </rPr>
          <t xml:space="preserve">
Source: Annual Report FY2021 pg.7 ("~7,600 employees as on 31 March, 2021")</t>
        </r>
      </text>
    </comment>
    <comment ref="D69" authorId="0" shapeId="0" xr:uid="{0FDA2D92-488E-4E47-A294-7607D4769EBD}">
      <text>
        <r>
          <rPr>
            <b/>
            <sz val="9"/>
            <color indexed="81"/>
            <rFont val="Tahoma"/>
            <family val="2"/>
          </rPr>
          <t>Chhaya Pathania:</t>
        </r>
        <r>
          <rPr>
            <sz val="9"/>
            <color indexed="81"/>
            <rFont val="Tahoma"/>
            <family val="2"/>
          </rPr>
          <t xml:space="preserve">
Source: Annual Report FY2022 pg.13 ("8,024 Employees as on 31 March, 2022")</t>
        </r>
      </text>
    </comment>
    <comment ref="E69" authorId="0" shapeId="0" xr:uid="{D4CF66DB-BBB6-4454-888C-F2D2CCB4A29D}">
      <text>
        <r>
          <rPr>
            <b/>
            <sz val="9"/>
            <color indexed="81"/>
            <rFont val="Tahoma"/>
            <family val="2"/>
          </rPr>
          <t>Chhaya Pathania:</t>
        </r>
        <r>
          <rPr>
            <sz val="9"/>
            <color indexed="81"/>
            <rFont val="Tahoma"/>
            <family val="2"/>
          </rPr>
          <t xml:space="preserve">
Source: Annual Report FY2023 pg.6 ("2,452 Employees as on March 31, 2023")</t>
        </r>
      </text>
    </comment>
    <comment ref="F69" authorId="0" shapeId="0" xr:uid="{7B8910C6-8A30-4538-9DE4-487416744975}">
      <text>
        <r>
          <rPr>
            <b/>
            <sz val="9"/>
            <color indexed="81"/>
            <rFont val="Tahoma"/>
            <family val="2"/>
          </rPr>
          <t>Chhaya Pathania:</t>
        </r>
        <r>
          <rPr>
            <sz val="9"/>
            <color indexed="81"/>
            <rFont val="Tahoma"/>
            <family val="2"/>
          </rPr>
          <t xml:space="preserve">
Source: Annual Report FY2024 pg.2 ("2,384 Employees")</t>
        </r>
      </text>
    </comment>
    <comment ref="G69" authorId="0" shapeId="0" xr:uid="{E94DC922-D07F-4A63-8467-E259D83398D8}">
      <text>
        <r>
          <rPr>
            <b/>
            <sz val="9"/>
            <color indexed="81"/>
            <rFont val="Tahoma"/>
            <family val="2"/>
          </rPr>
          <t>Chhaya Pathania:</t>
        </r>
        <r>
          <rPr>
            <sz val="9"/>
            <color indexed="81"/>
            <rFont val="Tahoma"/>
            <family val="2"/>
          </rPr>
          <t xml:space="preserve">
Source: Annual Report FY2025 pg.3 ("3,594 Employees")</t>
        </r>
      </text>
    </comment>
    <comment ref="H69" authorId="0" shapeId="0" xr:uid="{D9E5A0DC-AC05-4BA6-A1F8-6202D12126A6}">
      <text>
        <r>
          <rPr>
            <b/>
            <sz val="9"/>
            <color indexed="81"/>
            <rFont val="Tahoma"/>
            <family val="2"/>
          </rPr>
          <t>Chhaya Pathania:</t>
        </r>
        <r>
          <rPr>
            <sz val="9"/>
            <color indexed="81"/>
            <rFont val="Tahoma"/>
            <family val="2"/>
          </rPr>
          <t xml:space="preserve">
Source: Annual Report FY2026 pg.4 ("5,860 Employees")</t>
        </r>
      </text>
    </comment>
    <comment ref="I71" authorId="0" shapeId="0" xr:uid="{F90171D3-4EF1-422E-B7E3-FB353CD27C69}">
      <text>
        <r>
          <rPr>
            <b/>
            <sz val="9"/>
            <color indexed="81"/>
            <rFont val="Tahoma"/>
            <family val="2"/>
          </rPr>
          <t>Chhaya Pathania:</t>
        </r>
        <r>
          <rPr>
            <sz val="9"/>
            <color indexed="81"/>
            <rFont val="Tahoma"/>
            <family val="2"/>
          </rPr>
          <t xml:space="preserve">
Branch Profitability tab (illustrative) does not extend to forecast years — left blank. See row 76 (Branch Productivity) for a forecast-basis alternative computed directly from the Business Drivers/Balance Sheet forecast.</t>
        </r>
      </text>
    </comment>
    <comment ref="I72" authorId="0" shapeId="0" xr:uid="{9D3DA569-615F-454A-B7CB-3682D93A8BF1}">
      <text>
        <r>
          <rPr>
            <b/>
            <sz val="9"/>
            <color indexed="81"/>
            <rFont val="Tahoma"/>
            <family val="2"/>
          </rPr>
          <t>Chhaya Pathania:</t>
        </r>
        <r>
          <rPr>
            <sz val="9"/>
            <color indexed="81"/>
            <rFont val="Tahoma"/>
            <family val="2"/>
          </rPr>
          <t xml:space="preserve">
Illustrative continuation of ticket-size inflation (FY26A: ₹4.0 Lakh), ~5% p.a., consistent with the historical trend in this row; not company-disclosed.</t>
        </r>
      </text>
    </comment>
    <comment ref="J72" authorId="0" shapeId="0" xr:uid="{E7BD225F-1876-4529-BA82-2505B6816D31}">
      <text>
        <r>
          <rPr>
            <b/>
            <sz val="9"/>
            <color indexed="81"/>
            <rFont val="Tahoma"/>
            <family val="2"/>
          </rPr>
          <t>Chhaya Pathania:</t>
        </r>
        <r>
          <rPr>
            <sz val="9"/>
            <color indexed="81"/>
            <rFont val="Tahoma"/>
            <family val="2"/>
          </rPr>
          <t xml:space="preserve">
Illustrative, ~5% p.a. ticket-size inflation.</t>
        </r>
      </text>
    </comment>
    <comment ref="K72" authorId="0" shapeId="0" xr:uid="{DFDCE705-4398-4E41-AD9D-54DD92219CDE}">
      <text>
        <r>
          <rPr>
            <b/>
            <sz val="9"/>
            <color indexed="81"/>
            <rFont val="Tahoma"/>
            <family val="2"/>
          </rPr>
          <t>Chhaya Pathania:</t>
        </r>
        <r>
          <rPr>
            <sz val="9"/>
            <color indexed="81"/>
            <rFont val="Tahoma"/>
            <family val="2"/>
          </rPr>
          <t xml:space="preserve">
Illustrative, ~5% p.a. ticket-size inflation.</t>
        </r>
      </text>
    </comment>
    <comment ref="L72" authorId="0" shapeId="0" xr:uid="{0FF36EC0-DA99-4CD1-8225-696CE010460B}">
      <text>
        <r>
          <rPr>
            <b/>
            <sz val="9"/>
            <color indexed="81"/>
            <rFont val="Tahoma"/>
            <family val="2"/>
          </rPr>
          <t>Chhaya Pathania:</t>
        </r>
        <r>
          <rPr>
            <sz val="9"/>
            <color indexed="81"/>
            <rFont val="Tahoma"/>
            <family val="2"/>
          </rPr>
          <t xml:space="preserve">
Illustrative, ~5% p.a. ticket-size inflation.</t>
        </r>
      </text>
    </comment>
    <comment ref="M72" authorId="0" shapeId="0" xr:uid="{F7729722-DF71-40FE-A931-9CE0249FEACC}">
      <text>
        <r>
          <rPr>
            <b/>
            <sz val="9"/>
            <color indexed="81"/>
            <rFont val="Tahoma"/>
            <family val="2"/>
          </rPr>
          <t>Chhaya Pathania:</t>
        </r>
        <r>
          <rPr>
            <sz val="9"/>
            <color indexed="81"/>
            <rFont val="Tahoma"/>
            <family val="2"/>
          </rPr>
          <t xml:space="preserve">
Illustrative, ~5% p.a. ticket-size inflation.</t>
        </r>
      </text>
    </comment>
    <comment ref="E76" authorId="0" shapeId="0" xr:uid="{8B8E0A50-A5F5-4B87-A0AA-1FB96F6547E5}">
      <text>
        <r>
          <rPr>
            <b/>
            <sz val="9"/>
            <color indexed="81"/>
            <rFont val="Tahoma"/>
            <family val="2"/>
          </rPr>
          <t>Chhaya Pathania:</t>
        </r>
        <r>
          <rPr>
            <sz val="9"/>
            <color indexed="81"/>
            <rFont val="Tahoma"/>
            <family val="2"/>
          </rPr>
          <t xml:space="preserve">
Source: Annual Report FY2024 pg.14 ("Disbursement under DDP model constituted 81% of the total disbursement" for FY23)</t>
        </r>
      </text>
    </comment>
    <comment ref="F76" authorId="0" shapeId="0" xr:uid="{B39BC613-843C-46E0-803C-F37752E732F7}">
      <text>
        <r>
          <rPr>
            <b/>
            <sz val="9"/>
            <color indexed="81"/>
            <rFont val="Tahoma"/>
            <family val="2"/>
          </rPr>
          <t>Chhaya Pathania:</t>
        </r>
        <r>
          <rPr>
            <sz val="9"/>
            <color indexed="81"/>
            <rFont val="Tahoma"/>
            <family val="2"/>
          </rPr>
          <t xml:space="preserve">
Source: Annual Report FY2024 pg.14 ("Disbursement under DDP model constituted 82% of the total disbursement" for FY24). Not disclosed on an annual basis for FY2025-FY2026 in these reports.</t>
        </r>
      </text>
    </comment>
    <comment ref="I76" authorId="0" shapeId="0" xr:uid="{46A1181F-20A1-489D-AE2E-D4F80476CEA1}">
      <text>
        <r>
          <rPr>
            <b/>
            <sz val="9"/>
            <color indexed="81"/>
            <rFont val="Tahoma"/>
            <family val="2"/>
          </rPr>
          <t>Chhaya Pathania:</t>
        </r>
        <r>
          <rPr>
            <sz val="9"/>
            <color indexed="81"/>
            <rFont val="Tahoma"/>
            <family val="2"/>
          </rPr>
          <t xml:space="preserve">
Digital (DDP) disbursement share is not disclosed by the Company on a comparable annual basis since FY2024 — no forecast driver modeled, left blank rather than estimated.</t>
        </r>
      </text>
    </comment>
    <comment ref="G83" authorId="0" shapeId="0" xr:uid="{4609D738-09B4-4D30-BF11-4F9868449278}">
      <text>
        <r>
          <rPr>
            <b/>
            <sz val="9"/>
            <color indexed="81"/>
            <rFont val="Tahoma"/>
            <family val="2"/>
          </rPr>
          <t>Chhaya Pathania:</t>
        </r>
        <r>
          <rPr>
            <sz val="9"/>
            <color indexed="81"/>
            <rFont val="Tahoma"/>
            <family val="2"/>
          </rPr>
          <t xml:space="preserve">
Branch count not company-disclosed as an annual comparable figure for FY2021-FY2025; only the FY2026A count (500+) is disclosed (AR FY2026 pg.2).</t>
        </r>
      </text>
    </comment>
    <comment ref="K87" authorId="0" shapeId="0" xr:uid="{454273F4-7B72-4F1E-B052-7885AFF322D3}">
      <text>
        <r>
          <rPr>
            <b/>
            <sz val="9"/>
            <color indexed="81"/>
            <rFont val="Tahoma"/>
            <family val="2"/>
          </rPr>
          <t>Chhaya Pathania:</t>
        </r>
        <r>
          <rPr>
            <sz val="9"/>
            <color indexed="81"/>
            <rFont val="Tahoma"/>
            <family val="2"/>
          </rPr>
          <t xml:space="preserve">
Source: Q1 FY27 Earnings Call Transcript, 17-Jul-2026. Management guided an ROA exit of 3.0%-3.5% by June 2028 — shown in the FY2029E column since June 2028 falls in FY2029 (Apr 2028-Mar 2029).</t>
        </r>
      </text>
    </comment>
    <comment ref="K88" authorId="0" shapeId="0" xr:uid="{191E4A25-98E6-4388-9A18-6863D11108BF}">
      <text>
        <r>
          <rPr>
            <b/>
            <sz val="9"/>
            <color indexed="81"/>
            <rFont val="Tahoma"/>
            <family val="2"/>
          </rPr>
          <t>Chhaya Pathania:</t>
        </r>
        <r>
          <rPr>
            <sz val="9"/>
            <color indexed="81"/>
            <rFont val="Tahoma"/>
            <family val="2"/>
          </rPr>
          <t xml:space="preserve">
Source: Q1 FY27 Earnings Call Transcript, 17-Jul-2026.</t>
        </r>
      </text>
    </comment>
    <comment ref="K90" authorId="0" shapeId="0" xr:uid="{BCBA8411-C5CD-4AF0-A8FC-B60500BC27D6}">
      <text>
        <r>
          <rPr>
            <b/>
            <sz val="9"/>
            <color indexed="81"/>
            <rFont val="Tahoma"/>
            <family val="2"/>
          </rPr>
          <t>Chhaya Pathania:</t>
        </r>
        <r>
          <rPr>
            <sz val="9"/>
            <color indexed="81"/>
            <rFont val="Tahoma"/>
            <family val="2"/>
          </rPr>
          <t xml:space="preserve">
Captured by temporarily toggling Scenario Analysis!C5 to "Upside" and reading KPIs &amp; Ratios!K34; not a live formula (Excel cannot show two scenarios' outputs simultaneously from one toggle). Re-toggle to verify.</t>
        </r>
      </text>
    </comment>
    <comment ref="F95" authorId="0" shapeId="0" xr:uid="{75F72E05-C1F6-4650-98CA-892EF32F24FE}">
      <text>
        <r>
          <rPr>
            <b/>
            <sz val="9"/>
            <color indexed="81"/>
            <rFont val="Tahoma"/>
            <family val="2"/>
          </rPr>
          <t>Chhaya Pathania:</t>
        </r>
        <r>
          <rPr>
            <sz val="9"/>
            <color indexed="81"/>
            <rFont val="Tahoma"/>
            <family val="2"/>
          </rPr>
          <t xml:space="preserve">
FY21-26A uses Reported/Standalone AUM (matching the Company's own headline disclosure); FY27E-31E forecast uses Consolidated basis (Balance Sheet tab). This basis switch is consistent with how AUM is treated throughout this workbook — see Executive Dashboard notes.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F20" authorId="0" shapeId="0" xr:uid="{3201DAC6-A719-490A-9529-96C586543E1E}">
      <text>
        <r>
          <rPr>
            <b/>
            <sz val="9"/>
            <color indexed="81"/>
            <rFont val="Tahoma"/>
            <family val="2"/>
          </rPr>
          <t>Chhaya Pathania:</t>
        </r>
        <r>
          <rPr>
            <sz val="9"/>
            <color indexed="81"/>
            <rFont val="Tahoma"/>
            <family val="2"/>
          </rPr>
          <t xml:space="preserve">
Source: Annual Report FY2026, KPI pg.19</t>
        </r>
      </text>
    </comment>
    <comment ref="G20" authorId="0" shapeId="0" xr:uid="{8BBD1947-CD5F-430B-9E06-0877E28805C9}">
      <text>
        <r>
          <rPr>
            <b/>
            <sz val="9"/>
            <color indexed="81"/>
            <rFont val="Tahoma"/>
            <family val="2"/>
          </rPr>
          <t>Chhaya Pathania:</t>
        </r>
        <r>
          <rPr>
            <sz val="9"/>
            <color indexed="81"/>
            <rFont val="Tahoma"/>
            <family val="2"/>
          </rPr>
          <t xml:space="preserve">
Source: Annual Report FY2026, KPI pg.19</t>
        </r>
      </text>
    </comment>
    <comment ref="H20" authorId="0" shapeId="0" xr:uid="{4914379A-1B33-419D-AD13-DF15B9C26C0F}">
      <text>
        <r>
          <rPr>
            <b/>
            <sz val="9"/>
            <color indexed="81"/>
            <rFont val="Tahoma"/>
            <family val="2"/>
          </rPr>
          <t>Chhaya Pathania:</t>
        </r>
        <r>
          <rPr>
            <sz val="9"/>
            <color indexed="81"/>
            <rFont val="Tahoma"/>
            <family val="2"/>
          </rPr>
          <t xml:space="preserve">
Source: Annual Report FY2026, KPI pg.19</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C13" authorId="0" shapeId="0" xr:uid="{F077EF4C-9130-4965-A6E2-ED6C258610BA}">
      <text>
        <r>
          <rPr>
            <b/>
            <sz val="9"/>
            <color indexed="81"/>
            <rFont val="Tahoma"/>
            <family val="2"/>
          </rPr>
          <t>Illustrative: 35% of FY2026A's Other Expenses only (₹344.32 Cr, excludes D&amp;A which is now forecast separately on the CapEx &amp; Depreciation Schedule tab) ÷ 500 branches.</t>
        </r>
      </text>
    </comment>
    <comment ref="C15" authorId="0" shapeId="0" xr:uid="{F13D7CCE-4058-4A23-931C-28D1908128C5}">
      <text>
        <r>
          <rPr>
            <b/>
            <sz val="9"/>
            <color indexed="81"/>
            <rFont val="Tahoma"/>
            <family val="2"/>
          </rPr>
          <t>Illustrative allocation — 35% of FY2026A Other Expenses (₹983.77 Cr, Profit &amp; Loss tab). D&amp;A (₹94.14 Cr) is now forecast separately on the CapEx &amp; Depreciation Schedule tab, not embedded here.</t>
        </r>
      </text>
    </comment>
    <comment ref="C19" authorId="0" shapeId="0" xr:uid="{4B422D2F-D867-4BE3-B533-50614379DF13}">
      <text>
        <r>
          <rPr>
            <b/>
            <sz val="9"/>
            <color indexed="81"/>
            <rFont val="Tahoma"/>
            <family val="2"/>
          </rPr>
          <t>Illustrative allocation — 25% of FY2026A Other Expenses (₹983.77 Cr, Profit &amp; Loss tab).</t>
        </r>
      </text>
    </comment>
    <comment ref="C23" authorId="0" shapeId="0" xr:uid="{CCA954AA-D28F-4792-974D-0C859D94E0AC}">
      <text>
        <r>
          <rPr>
            <b/>
            <sz val="9"/>
            <color indexed="81"/>
            <rFont val="Tahoma"/>
            <family val="2"/>
          </rPr>
          <t>Illustrative allocation — 20% of FY2026A Other Expenses (₹983.77 Cr, Profit &amp; Loss tab).</t>
        </r>
      </text>
    </comment>
    <comment ref="C27" authorId="0" shapeId="0" xr:uid="{2A096FE3-2A98-48F5-BBF7-28330CA1162B}">
      <text>
        <r>
          <rPr>
            <b/>
            <sz val="9"/>
            <color indexed="81"/>
            <rFont val="Tahoma"/>
            <family val="2"/>
          </rPr>
          <t>Illustrative allocation — 12% of FY2026A Other Expenses (₹983.77 Cr, Profit &amp; Loss tab).</t>
        </r>
      </text>
    </comment>
    <comment ref="C31" authorId="0" shapeId="0" xr:uid="{14E8722C-9883-488E-8470-9328BF6C3B5B}">
      <text>
        <r>
          <rPr>
            <b/>
            <sz val="9"/>
            <color indexed="81"/>
            <rFont val="Tahoma"/>
            <family val="2"/>
          </rPr>
          <t>Illustrative allocation — 8% of FY2026A Other Expenses (₹983.77 Cr, Profit &amp; Loss tab).</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H23" authorId="0" shapeId="0" xr:uid="{21603C83-2135-410D-8CB6-7FD0A3FB8FB2}">
      <text>
        <r>
          <rPr>
            <b/>
            <sz val="9"/>
            <color indexed="81"/>
            <rFont val="Tahoma"/>
            <family val="2"/>
          </rPr>
          <t>Chhaya Pathania:</t>
        </r>
        <r>
          <rPr>
            <sz val="9"/>
            <color indexed="81"/>
            <rFont val="Tahoma"/>
            <family val="2"/>
          </rPr>
          <t xml:space="preserve">
Forecast years apply the FY2026A blended risk weight derived in Section 1. This assumes product mix stays broadly constant. If the secured mix rises toward management's 50:50 target, the blended weight would fall and capital need would ease — a sensitivity worth testing.</t>
        </r>
      </text>
    </comment>
    <comment ref="D25" authorId="0" shapeId="0" xr:uid="{340342C9-1087-4509-893D-C35D8E6687E6}">
      <text>
        <r>
          <rPr>
            <b/>
            <sz val="9"/>
            <color indexed="81"/>
            <rFont val="Tahoma"/>
            <family val="2"/>
          </rPr>
          <t>Chhaya Pathania:</t>
        </r>
        <r>
          <rPr>
            <sz val="9"/>
            <color indexed="81"/>
            <rFont val="Tahoma"/>
            <family val="2"/>
          </rPr>
          <t xml:space="preserve">
Uses PRIOR-year gross income, consistent with the Basic Indicator Approach (which applies a trailing average of gross income). This also breaks what would otherwise be a circular loop: borrowings → interest expense → gross income → operational RWA → required capital → equity → borrowings.</t>
        </r>
      </text>
    </comment>
    <comment ref="H25" authorId="0" shapeId="0" xr:uid="{E3570BA0-0480-4DA5-A631-BC311DE0BD7A}">
      <text>
        <r>
          <rPr>
            <b/>
            <sz val="9"/>
            <color indexed="81"/>
            <rFont val="Tahoma"/>
            <family val="2"/>
          </rPr>
          <t>Chhaya Pathania:</t>
        </r>
        <r>
          <rPr>
            <sz val="9"/>
            <color indexed="81"/>
            <rFont val="Tahoma"/>
            <family val="2"/>
          </rPr>
          <t xml:space="preserve">
Basic Indicator Approach: capital charge = 15% of gross income, converted to an RWA equivalent by ×12.5 (the reciprocal of the 8% Basel minimum). A simplification — RBI does not mandate an explicit operational-risk charge for NBFCs, but excluding it would understate total RWA.</t>
        </r>
      </text>
    </comment>
    <comment ref="H28" authorId="0" shapeId="0" xr:uid="{66CD68F3-8781-4D81-9E4F-3ACDDFFEAE0C}">
      <text>
        <r>
          <rPr>
            <b/>
            <sz val="9"/>
            <color indexed="81"/>
            <rFont val="Tahoma"/>
            <family val="2"/>
          </rPr>
          <t>Chhaya Pathania:</t>
        </r>
        <r>
          <rPr>
            <sz val="9"/>
            <color indexed="81"/>
            <rFont val="Tahoma"/>
            <family val="2"/>
          </rPr>
          <t xml:space="preserve">
Simplification: uses Total Equity as a proxy for Tier 1. A full Tier 1 calculation would deduct goodwill, other intangibles, DTA above threshold and investments in subsidiaries. Those deductions are not separately modelled here, so Tier 1 is modestly overstated.</t>
        </r>
      </text>
    </comment>
    <comment ref="C34" authorId="0" shapeId="0" xr:uid="{9161FAB7-EFC0-49B8-8141-8D38DC781F0A}">
      <text>
        <r>
          <rPr>
            <b/>
            <sz val="9"/>
            <color indexed="81"/>
            <rFont val="Tahoma"/>
            <family val="2"/>
          </rPr>
          <t>Chhaya Pathania:</t>
        </r>
        <r>
          <rPr>
            <sz val="9"/>
            <color indexed="81"/>
            <rFont val="Tahoma"/>
            <family val="2"/>
          </rPr>
          <t xml:space="preserve">
Disclosed FY26A CRAR is 16.83% (standalone). This RWA-based build is on a consolidated basis with simplified Tier 1 and an added operational-risk charge, so a modest difference is expected. The gap is the cost of not having the Company's actual RWA disclosure.</t>
        </r>
      </text>
    </comment>
    <comment ref="C37" authorId="0" shapeId="0" xr:uid="{494C88CF-E1E7-4435-8644-A03F86D1501B}">
      <text>
        <r>
          <rPr>
            <b/>
            <sz val="9"/>
            <color indexed="81"/>
            <rFont val="Tahoma"/>
            <family val="2"/>
          </rPr>
          <t>Chhaya Pathania:</t>
        </r>
        <r>
          <rPr>
            <sz val="9"/>
            <color indexed="81"/>
            <rFont val="Tahoma"/>
            <family val="2"/>
          </rPr>
          <t xml:space="preserve">
RBI Scale Based Regulation: NBFC-UL minimum CRAR 15%, of which Tier 1 minimum 10%. Poonawalla is classified NBFC-Upper Layer.</t>
        </r>
      </text>
    </comment>
    <comment ref="C38" authorId="0" shapeId="0" xr:uid="{F1E6EB10-DE08-4DB7-97DD-6AE16BDAEF54}">
      <text>
        <r>
          <rPr>
            <b/>
            <sz val="9"/>
            <color indexed="81"/>
            <rFont val="Tahoma"/>
            <family val="2"/>
          </rPr>
          <t>MANAGEMENT BUFFER - a policy choice, not a regulatory requirement. Justification: (a) the Company's own disclosed CRAR was 33.8% FY24, 22.9% FY25 and 16.83% FY26, and 20.74% simulated post the Rs 2,500 Cr QIP on the March 2026 balance sheet - so an 18% target is below every level actually operated at; (b) 300bps of headroom absorbs roughly one Downside-scenario year without breaching the 15% floor, avoiding forced deleveraging; (c) it preserves ratings headroom (AAA/Stable per CRISIL and CARE, cited on the Funding Forecast tab) and typical lender covenant expectations. Most large NBFCs operate 300-600bps above the floor. Section 9 rows 108-112 quantify what this choice costs in equity.</t>
        </r>
      </text>
    </comment>
    <comment ref="C43" authorId="0" shapeId="0" xr:uid="{C50D7502-10CB-4A11-A2B5-9C02A25B7BE1}">
      <text>
        <r>
          <rPr>
            <b/>
            <sz val="9"/>
            <color indexed="81"/>
            <rFont val="Tahoma"/>
            <family val="2"/>
          </rPr>
          <t>Chhaya Pathania:</t>
        </r>
        <r>
          <rPr>
            <sz val="9"/>
            <color indexed="81"/>
            <rFont val="Tahoma"/>
            <family val="2"/>
          </rPr>
          <t xml:space="preserve">
Measured on TOTAL capital funds: 10,723 available vs 12,838 required = (2,115). The catch-up in the section 5 bridge (row 59) is 2,490 because it is measured on TIER 1 / equity only - the Balance Sheet raise adds equity, not Tier 2. The difference of 375 is exactly FY2026A Tier 2 capital (row 29). Both figures are correct for their own purpose; they are not two attempts at the same number.</t>
        </r>
      </text>
    </comment>
    <comment ref="B52" authorId="0" shapeId="0" xr:uid="{6F7E5730-E593-4B43-A095-9D859EBFC6BA}">
      <text>
        <r>
          <rPr>
            <b/>
            <sz val="9"/>
            <color indexed="81"/>
            <rFont val="Tahoma"/>
            <family val="2"/>
          </rPr>
          <t>Chhaya Pathania:</t>
        </r>
        <r>
          <rPr>
            <sz val="9"/>
            <color indexed="81"/>
            <rFont val="Tahoma"/>
            <family val="2"/>
          </rPr>
          <t xml:space="preserve">
NOT a maximum supportable AUM. This is the AUM the REGULATORY CAPITAL position alone would allow, using opening capital funds plus that year's retained earnings. It is a single-year test, not a cumulative no-issuance path - see the board constraint test in section 7 for that. True growth capacity is the MINIMUM of this capital ceiling and the funding, ALM, liquidity, origination, collections and risk-appetite ceilings, none of which are modelled on this sheet.</t>
        </r>
      </text>
    </comment>
    <comment ref="C59" authorId="0" shapeId="0" xr:uid="{AFB31763-1FC3-46FF-BFF9-88F11767D2F5}">
      <text>
        <r>
          <rPr>
            <b/>
            <sz val="9"/>
            <color indexed="81"/>
            <rFont val="Tahoma"/>
            <family val="2"/>
          </rPr>
          <t>Chhaya Pathania:</t>
        </r>
        <r>
          <rPr>
            <sz val="9"/>
            <color indexed="81"/>
            <rFont val="Tahoma"/>
            <family val="2"/>
          </rPr>
          <t xml:space="preserve">
The Company begins the forecast BELOW its target CRAR: FY26A actual capital of ₹10,348 Cr against ₹12,838 Cr required at an 18% target on FY26A RWA. This shortfall must be funded in FY27E on top of the incremental requirement — it is the entire reason the Balance Sheet raise exceeds the year-on-year incremental figure.</t>
        </r>
      </text>
    </comment>
    <comment ref="C89" authorId="0" shapeId="0" xr:uid="{E64090E0-7FFD-49B5-809C-ECF728232667}">
      <text>
        <r>
          <rPr>
            <b/>
            <sz val="9"/>
            <color indexed="81"/>
            <rFont val="Tahoma"/>
            <family val="2"/>
          </rPr>
          <t>Chhaya Pathania:</t>
        </r>
        <r>
          <rPr>
            <sz val="9"/>
            <color indexed="81"/>
            <rFont val="Tahoma"/>
            <family val="2"/>
          </rPr>
          <t xml:space="preserve">
Source: Poonawalla Fincorp Annual Report FY2025-26, Key Performance Indicators - Capital Adequacy Ratio commentary: "Following the successful Rs 2,500 Crore capital raise through QIP, simulated Capital Adequacy Ratio is 20.74% basis March 2026 balance sheet." This is the benchmark for what the Company has demonstrably been able to raise in one window.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Chhaya Pathania</author>
    <author>tc={14B0F002-85E0-4122-9639-AD0A07CFF9A4}</author>
  </authors>
  <commentList>
    <comment ref="E5" authorId="0" shapeId="0" xr:uid="{33DA444B-0093-43FE-B3E5-30F787F0448C}">
      <text>
        <r>
          <rPr>
            <b/>
            <sz val="9"/>
            <color indexed="81"/>
            <rFont val="Tahoma"/>
            <family val="2"/>
          </rPr>
          <t>Chhaya Pathania:</t>
        </r>
        <r>
          <rPr>
            <sz val="9"/>
            <color indexed="81"/>
            <rFont val="Tahoma"/>
            <family val="2"/>
          </rPr>
          <t xml:space="preserve">
Disclosed: LAP AUM ₹16,935 Cr (Mar-26) vs ₹8,466 Cr (Mar-25) per AR FY26 pg.116-119 = +100.0% YoY.</t>
        </r>
      </text>
    </comment>
    <comment ref="E6" authorId="0" shapeId="0" xr:uid="{E5A4A024-57D3-4F8C-89D0-F486A6D487E4}">
      <text>
        <r>
          <rPr>
            <b/>
            <sz val="9"/>
            <color indexed="81"/>
            <rFont val="Tahoma"/>
            <family val="2"/>
          </rPr>
          <t>Chhaya Pathania:</t>
        </r>
        <r>
          <rPr>
            <sz val="9"/>
            <color indexed="81"/>
            <rFont val="Tahoma"/>
            <family val="2"/>
          </rPr>
          <t xml:space="preserve">
Disclosed: Instant Consumer Loan AUM ₹11,197 Cr (Mar-26) vs ₹6,659 Cr (Mar-25) = +68.2% YoY.</t>
        </r>
      </text>
    </comment>
    <comment ref="E7" authorId="0" shapeId="0" xr:uid="{C56D5C8C-1A0D-4993-B8B7-6FAC73A3E43E}">
      <text>
        <r>
          <rPr>
            <b/>
            <sz val="9"/>
            <color indexed="81"/>
            <rFont val="Tahoma"/>
            <family val="2"/>
          </rPr>
          <t>Chhaya Pathania:</t>
        </r>
        <r>
          <rPr>
            <sz val="9"/>
            <color indexed="81"/>
            <rFont val="Tahoma"/>
            <family val="2"/>
          </rPr>
          <t xml:space="preserve">
Disclosed: POC AUM ₹9,245 Cr (Mar-26) vs ₹6,475 Cr (Mar-25) = +42.8% YoY.</t>
        </r>
      </text>
    </comment>
    <comment ref="E8" authorId="0" shapeId="0" xr:uid="{CD0B46C1-7DE3-40D8-88C1-1622B1ED9E68}">
      <text>
        <r>
          <rPr>
            <b/>
            <sz val="9"/>
            <color indexed="81"/>
            <rFont val="Tahoma"/>
            <family val="2"/>
          </rPr>
          <t>Chhaya Pathania:</t>
        </r>
        <r>
          <rPr>
            <sz val="9"/>
            <color indexed="81"/>
            <rFont val="Tahoma"/>
            <family val="2"/>
          </rPr>
          <t xml:space="preserve">
Disclosed: Business Loan AUM ₹7,303 Cr (Mar-26) vs ₹5,728 Cr (Mar-25) = +27.5% YoY.</t>
        </r>
      </text>
    </comment>
    <comment ref="C17" authorId="1" shapeId="0" xr:uid="{14B0F002-85E0-4122-9639-AD0A07CFF9A4}">
      <text>
        <t>[Threaded comment]
Your version of Excel allows you to read this threaded comment; however, any edits to it will get removed if the file is opened in a newer version of Excel. Learn more: https://go.microsoft.com/fwlink/?linkid=870924
Comment:
    Sums to ₹60,347 Cr vs the ₹60,348 Cr disclosed total — the ₹1 Cr difference is the Shopkeeper Loan product (launched April 2025, immaterial), excluded here for readability.</t>
      </text>
    </comment>
    <comment ref="C24" authorId="0" shapeId="0" xr:uid="{AE4FB2C2-64D7-458F-B6FC-4177A37002AC}">
      <text>
        <r>
          <rPr>
            <b/>
            <sz val="9"/>
            <color indexed="81"/>
            <rFont val="Tahoma"/>
            <family val="2"/>
          </rPr>
          <t>Chhaya Pathania:</t>
        </r>
        <r>
          <rPr>
            <sz val="9"/>
            <color indexed="81"/>
            <rFont val="Tahoma"/>
            <family val="2"/>
          </rPr>
          <t xml:space="preserve">
Source: Annual Report FY2026 pg.19 — "newly launched products now contributing 14% of the mix".</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K8" authorId="0" shapeId="0" xr:uid="{3B8BA268-3383-4414-AAC1-356BEEAA991B}">
      <text>
        <r>
          <rPr>
            <b/>
            <sz val="9"/>
            <color indexed="81"/>
            <rFont val="Tahoma"/>
            <family val="2"/>
          </rPr>
          <t>REPLACES the previous illustrative 'capital allocated %' assumption. Now derived: RBI standardised risk weight for this product (Regulatory Capital tab) x the 18% target CRAR = regulatory capital this product actually consumes. This makes the DENOMINATOR of column L regulatory rather than illustrative. The numerator (cost of funds, opex, credit cost) is still illustrative, so column L is a MODELLED RAROC / screening metric - not a measured product return.</t>
        </r>
      </text>
    </comment>
    <comment ref="K19" authorId="0" shapeId="0" xr:uid="{1B44C9F7-EFC7-400B-AB85-97CD6C624A90}">
      <text>
        <r>
          <rPr>
            <b/>
            <sz val="9"/>
            <color indexed="81"/>
            <rFont val="Tahoma"/>
            <family val="2"/>
          </rPr>
          <t>Chhaya Pathania:</t>
        </r>
        <r>
          <rPr>
            <sz val="9"/>
            <color indexed="81"/>
            <rFont val="Tahoma"/>
            <family val="2"/>
          </rPr>
          <t xml:space="preserve">
Shopkeeper Loan (₹1 Cr, immaterial) is not separately listed in the Regulatory Capital RWA build; 125% unsecured-consumer risk weight applied directly.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F5" authorId="0" shapeId="0" xr:uid="{D3EEA82F-D14F-42A9-AB5A-A15FF2C4840C}">
      <text>
        <r>
          <rPr>
            <b/>
            <sz val="9"/>
            <color indexed="81"/>
            <rFont val="Tahoma"/>
            <family val="2"/>
          </rPr>
          <t>Chhaya Pathania:</t>
        </r>
        <r>
          <rPr>
            <sz val="9"/>
            <color indexed="81"/>
            <rFont val="Tahoma"/>
            <family val="2"/>
          </rPr>
          <t xml:space="preserve">
Source: Annual Report FY2026 pg.2 ("500+ branches, including 400 gold loan branches")</t>
        </r>
      </text>
    </comment>
    <comment ref="F6" authorId="0" shapeId="0" xr:uid="{A05477AE-4771-47EB-B2CC-1431918EB950}">
      <text>
        <r>
          <rPr>
            <b/>
            <sz val="9"/>
            <color indexed="81"/>
            <rFont val="Tahoma"/>
            <family val="2"/>
          </rPr>
          <t>Chhaya Pathania:</t>
        </r>
        <r>
          <rPr>
            <sz val="9"/>
            <color indexed="81"/>
            <rFont val="Tahoma"/>
            <family val="2"/>
          </rPr>
          <t xml:space="preserve">
Branches source only part of the book. Total reported AUM × the branch channel share from Distribution Analytics (30%, illustrative). Applying the whole book's economics to branches was the error in the previous version — it produced a network total 14x actual PAT.</t>
        </r>
      </text>
    </comment>
    <comment ref="F12" authorId="0" shapeId="0" xr:uid="{1B4859FE-DBEA-4655-A5BB-6700CA2F06C0}">
      <text>
        <r>
          <rPr>
            <b/>
            <sz val="9"/>
            <color indexed="81"/>
            <rFont val="Tahoma"/>
            <family val="2"/>
          </rPr>
          <t>Chhaya Pathania:</t>
        </r>
        <r>
          <rPr>
            <sz val="9"/>
            <color indexed="81"/>
            <rFont val="Tahoma"/>
            <family val="2"/>
          </rPr>
          <t xml:space="preserve">
ILLUSTRATIVE: ~₹3.75 lakh/month per branch, reflecting a Tier II/III gold-loan branch cost base (&gt;90% of the FY26 branch additions were Tier II/III per AR pg.2) with a small team, rent and utilities. The prior ₹1.15 Cr assumption implied ~₹9.6 lakh/month, which is not consistent with that footprint.</t>
        </r>
      </text>
    </comment>
    <comment ref="F13" authorId="0" shapeId="0" xr:uid="{36062326-79E2-4CD9-BF1A-7DD3B06B4EBE}">
      <text>
        <r>
          <rPr>
            <b/>
            <sz val="9"/>
            <color indexed="81"/>
            <rFont val="Tahoma"/>
            <family val="2"/>
          </rPr>
          <t>ILLUSTRATIVE allocation of central technology, corporate and support cost per branch.</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F8" authorId="0" shapeId="0" xr:uid="{1B07E21A-7F1E-4C34-859D-5874E13BE055}">
      <text>
        <r>
          <rPr>
            <b/>
            <sz val="9"/>
            <color indexed="81"/>
            <rFont val="Tahoma"/>
            <family val="2"/>
          </rPr>
          <t>Chhaya Pathania:</t>
        </r>
        <r>
          <rPr>
            <sz val="9"/>
            <color indexed="81"/>
            <rFont val="Tahoma"/>
            <family val="2"/>
          </rPr>
          <t xml:space="preserve">
Source: Q1 FY27 Earnings Call Transcript, 17-Jul-2026 (PCR 49.11%).</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E7" authorId="0" shapeId="0" xr:uid="{B8448AC9-0F68-42A8-8669-2072EBA2B1B8}">
      <text>
        <r>
          <rPr>
            <b/>
            <sz val="9"/>
            <color indexed="81"/>
            <rFont val="Tahoma"/>
            <family val="2"/>
          </rPr>
          <t>Chhaya Pathania:</t>
        </r>
        <r>
          <rPr>
            <sz val="9"/>
            <color indexed="81"/>
            <rFont val="Tahoma"/>
            <family val="2"/>
          </rPr>
          <t xml:space="preserve">
Threshold: &lt;1.0% Green, 1.0-2.0% Yellow, &gt;2.0% Red — illustrative bands consistent with typical diversified-NBFC underwriting standards.</t>
        </r>
      </text>
    </comment>
    <comment ref="E8" authorId="0" shapeId="0" xr:uid="{658998E8-073B-4707-ACC4-9B9A8F742C87}">
      <text>
        <r>
          <rPr>
            <b/>
            <sz val="9"/>
            <color indexed="81"/>
            <rFont val="Tahoma"/>
            <family val="2"/>
          </rPr>
          <t>Chhaya Pathania:</t>
        </r>
        <r>
          <rPr>
            <sz val="9"/>
            <color indexed="81"/>
            <rFont val="Tahoma"/>
            <family val="2"/>
          </rPr>
          <t xml:space="preserve">
RBI regulatory minimum LCR is 100%; threshold set at 150%/120% for a comfortable buffer above minimum.</t>
        </r>
      </text>
    </comment>
    <comment ref="E9" authorId="0" shapeId="0" xr:uid="{30817757-91BB-4AAB-873C-A1A9B1EC59B2}">
      <text>
        <r>
          <rPr>
            <b/>
            <sz val="9"/>
            <color indexed="81"/>
            <rFont val="Tahoma"/>
            <family val="2"/>
          </rPr>
          <t>Chhaya Pathania:</t>
        </r>
        <r>
          <rPr>
            <sz val="9"/>
            <color indexed="81"/>
            <rFont val="Tahoma"/>
            <family val="2"/>
          </rPr>
          <t xml:space="preserve">
Threshold: &gt;9.0% Green, 7.0-9.0% Yellow, &lt;7.0% Red — benchmarked to the FY21-26 NIM range disclosed in Executive Dashboard (8.2%-11.2%).</t>
        </r>
      </text>
    </comment>
    <comment ref="E10" authorId="0" shapeId="0" xr:uid="{C4ABF63D-E924-45D2-A2D2-FC0727FE955E}">
      <text>
        <r>
          <rPr>
            <b/>
            <sz val="9"/>
            <color indexed="81"/>
            <rFont val="Tahoma"/>
            <family val="2"/>
          </rPr>
          <t>Chhaya Pathania:</t>
        </r>
        <r>
          <rPr>
            <sz val="9"/>
            <color indexed="81"/>
            <rFont val="Tahoma"/>
            <family val="2"/>
          </rPr>
          <t xml:space="preserve">
Threshold: &lt;45% Green, 45-55% Yellow, &gt;55% Red — consistent with the Company's own FY26 disclosure of opex discipline while still investing in growth.</t>
        </r>
      </text>
    </comment>
    <comment ref="E11" authorId="0" shapeId="0" xr:uid="{47A9F936-EE54-42E7-A5F8-7F7AB9A33C88}">
      <text>
        <r>
          <rPr>
            <b/>
            <sz val="9"/>
            <color indexed="81"/>
            <rFont val="Tahoma"/>
            <family val="2"/>
          </rPr>
          <t>Chhaya Pathania:</t>
        </r>
        <r>
          <rPr>
            <sz val="9"/>
            <color indexed="81"/>
            <rFont val="Tahoma"/>
            <family val="2"/>
          </rPr>
          <t xml:space="preserve">
Threshold: &gt;20% Green, 10-20% Yellow, &lt;10% Red. Risk framing: current growth is strong, but a slowdown below these bands would compress revenue.</t>
        </r>
      </text>
    </comment>
    <comment ref="E12" authorId="0" shapeId="0" xr:uid="{3BD9DCD3-A1A0-481D-BD26-E44AF1A865FD}">
      <text>
        <r>
          <rPr>
            <b/>
            <sz val="9"/>
            <color indexed="81"/>
            <rFont val="Tahoma"/>
            <family val="2"/>
          </rPr>
          <t>Chhaya Pathania:</t>
        </r>
        <r>
          <rPr>
            <sz val="9"/>
            <color indexed="81"/>
            <rFont val="Tahoma"/>
            <family val="2"/>
          </rPr>
          <t xml:space="preserve">
Threshold: &gt;15% YoY growth Green, 0-15% Yellow, negative Red. Branch Profitability tab is illustrative (Company does not disclose branch-level P&amp;L).</t>
        </r>
      </text>
    </comment>
    <comment ref="E13" authorId="0" shapeId="0" xr:uid="{F81AF8C2-00C8-4232-AACA-9F121E9BCF7D}">
      <text>
        <r>
          <rPr>
            <b/>
            <sz val="9"/>
            <color indexed="81"/>
            <rFont val="Tahoma"/>
            <family val="2"/>
          </rPr>
          <t>Chhaya Pathania:</t>
        </r>
        <r>
          <rPr>
            <sz val="9"/>
            <color indexed="81"/>
            <rFont val="Tahoma"/>
            <family val="2"/>
          </rPr>
          <t xml:space="preserve">
Threshold: &gt;30% Green, 20-30% Yellow, &lt;20% Red — illustrative (Customer Analytics tab); Company does not disclose cross-sell rate.</t>
        </r>
      </text>
    </comment>
    <comment ref="E14" authorId="0" shapeId="0" xr:uid="{26B9E9EB-B735-4BA7-823A-6A81FF24566C}">
      <text>
        <r>
          <rPr>
            <b/>
            <sz val="9"/>
            <color indexed="81"/>
            <rFont val="Tahoma"/>
            <family val="2"/>
          </rPr>
          <t>Chhaya Pathania:</t>
        </r>
        <r>
          <rPr>
            <sz val="9"/>
            <color indexed="81"/>
            <rFont val="Tahoma"/>
            <family val="2"/>
          </rPr>
          <t xml:space="preserve">
RBI regulatory minimum CRAR for NBFC-Upper Layer is 15%. Threshold: &gt;18% Green, 15-18% Yellow, &lt;15% Red.</t>
        </r>
      </text>
    </comment>
    <comment ref="E15" authorId="0" shapeId="0" xr:uid="{1C1A6B6D-5313-4C10-99CC-5A24F5F661B3}">
      <text>
        <r>
          <rPr>
            <b/>
            <sz val="9"/>
            <color indexed="81"/>
            <rFont val="Tahoma"/>
            <family val="2"/>
          </rPr>
          <t>Chhaya Pathania:</t>
        </r>
        <r>
          <rPr>
            <sz val="9"/>
            <color indexed="81"/>
            <rFont val="Tahoma"/>
            <family val="2"/>
          </rPr>
          <t xml:space="preserve">
Not disclosed for FY2025-FY2026 in these Annual Reports — status is a qualitative judgement (last known level was healthy at 81-82%), not a live formula, given the data gap.</t>
        </r>
      </text>
    </comment>
    <comment ref="E16" authorId="0" shapeId="0" xr:uid="{55A1D51D-7B4A-4FF2-9531-E3EFBE03C0AF}">
      <text>
        <r>
          <rPr>
            <b/>
            <sz val="9"/>
            <color indexed="81"/>
            <rFont val="Tahoma"/>
            <family val="2"/>
          </rPr>
          <t>Chhaya Pathania:</t>
        </r>
        <r>
          <rPr>
            <sz val="9"/>
            <color indexed="81"/>
            <rFont val="Tahoma"/>
            <family val="2"/>
          </rPr>
          <t xml:space="preserve">
Threshold: &gt;15% Green, 8-15% Yellow, &lt;8% Red — benchmarked to a typical NBFC cost-of-equity hurdle rate of ~13-15%.</t>
        </r>
      </text>
    </comment>
    <comment ref="C61" authorId="0" shapeId="0" xr:uid="{0C9AB5F5-BC76-403C-BB35-FCB7B7F5B8A8}">
      <text>
        <r>
          <rPr>
            <b/>
            <sz val="9"/>
            <color indexed="81"/>
            <rFont val="Tahoma"/>
            <family val="2"/>
          </rPr>
          <t>Chhaya Pathania:</t>
        </r>
        <r>
          <rPr>
            <sz val="9"/>
            <color indexed="81"/>
            <rFont val="Tahoma"/>
            <family val="2"/>
          </rPr>
          <t xml:space="preserve">
The Company does not numerically disclose collection efficiency in the FY2021-FY2026 Annual Reports — only qualitative commentary (e.g. "improved collection efficiency", AR FY24-26).</t>
        </r>
      </text>
    </comment>
    <comment ref="D62" authorId="0" shapeId="0" xr:uid="{0339562A-A4F8-45E6-A1F7-F05DF6952735}">
      <text>
        <r>
          <rPr>
            <b/>
            <sz val="9"/>
            <color indexed="81"/>
            <rFont val="Tahoma"/>
            <family val="2"/>
          </rPr>
          <t>Chhaya Pathania:</t>
        </r>
        <r>
          <rPr>
            <sz val="9"/>
            <color indexed="81"/>
            <rFont val="Tahoma"/>
            <family val="2"/>
          </rPr>
          <t xml:space="preserve">
Compares Q1 FY27 Cost of Borrowing (7.72%) to the prior quarter (7.63%, per Q1 FY27 earnings call). Rising — flagged as worsening.</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E5" authorId="0" shapeId="0" xr:uid="{B847D707-ADAC-404C-A598-241E398E5E3C}">
      <text>
        <r>
          <rPr>
            <b/>
            <sz val="9"/>
            <color indexed="81"/>
            <rFont val="Tahoma"/>
            <family val="2"/>
          </rPr>
          <t>Chhaya Pathania:</t>
        </r>
        <r>
          <rPr>
            <sz val="9"/>
            <color indexed="81"/>
            <rFont val="Tahoma"/>
            <family val="2"/>
          </rPr>
          <t xml:space="preserve">
Baseline sourced from Executive Dashboard tab (FY26 Cost-to-Income, computed and cross-checked to company disclosure)</t>
        </r>
      </text>
    </comment>
    <comment ref="E6" authorId="0" shapeId="0" xr:uid="{2EB4C079-BA25-4326-836C-F176469040EC}">
      <text>
        <r>
          <rPr>
            <b/>
            <sz val="9"/>
            <color indexed="81"/>
            <rFont val="Tahoma"/>
            <family val="2"/>
          </rPr>
          <t>Chhaya Pathania:</t>
        </r>
        <r>
          <rPr>
            <sz val="9"/>
            <color indexed="81"/>
            <rFont val="Tahoma"/>
            <family val="2"/>
          </rPr>
          <t xml:space="preserve">
Baseline sourced from Customer Analytics tab (illustrative FY26 CAC)</t>
        </r>
      </text>
    </comment>
    <comment ref="E7" authorId="0" shapeId="0" xr:uid="{2BE21262-0C08-455E-8C97-F4275BEBB223}">
      <text>
        <r>
          <rPr>
            <b/>
            <sz val="9"/>
            <color indexed="81"/>
            <rFont val="Tahoma"/>
            <family val="2"/>
          </rPr>
          <t>Chhaya Pathania:</t>
        </r>
        <r>
          <rPr>
            <sz val="9"/>
            <color indexed="81"/>
            <rFont val="Tahoma"/>
            <family val="2"/>
          </rPr>
          <t xml:space="preserve">
Baseline sourced from Treasury tab (FY26 disclosed Cost of Borrowing)</t>
        </r>
      </text>
    </comment>
    <comment ref="M7" authorId="0" shapeId="0" xr:uid="{3B92F8CC-E0B0-4905-8896-A2532F31537B}">
      <text>
        <r>
          <rPr>
            <b/>
            <sz val="9"/>
            <color indexed="81"/>
            <rFont val="Tahoma"/>
            <family val="2"/>
          </rPr>
          <t>Chhaya Pathania:</t>
        </r>
        <r>
          <rPr>
            <sz val="9"/>
            <color indexed="81"/>
            <rFont val="Tahoma"/>
            <family val="2"/>
          </rPr>
          <t xml:space="preserve">
Flagged Partly: the Funding Forecast Base Case already assumes cost of funds easing from 7.5% to 7.0% across FY27E-31E. Counting the full ₹120 Cr treasury benefit as incremental would double-count that glide path. Risk-adjusted incremental is therefore set to zero here — only genuine outperformance versus the Base Case glide should be claimed.</t>
        </r>
      </text>
    </comment>
    <comment ref="E8" authorId="0" shapeId="0" xr:uid="{0D9ACAB8-1EB2-4864-9E6B-4CC12DEE280F}">
      <text>
        <r>
          <rPr>
            <b/>
            <sz val="9"/>
            <color indexed="81"/>
            <rFont val="Tahoma"/>
            <family val="2"/>
          </rPr>
          <t>Chhaya Pathania:</t>
        </r>
        <r>
          <rPr>
            <sz val="9"/>
            <color indexed="81"/>
            <rFont val="Tahoma"/>
            <family val="2"/>
          </rPr>
          <t xml:space="preserve">
Baseline sourced from Executive Dashboard tab (FY26 disclosed GNPA)</t>
        </r>
      </text>
    </comment>
    <comment ref="M8" authorId="0" shapeId="0" xr:uid="{496E1734-5987-4D40-A50F-EC45614E94F9}">
      <text>
        <r>
          <rPr>
            <b/>
            <sz val="9"/>
            <color indexed="81"/>
            <rFont val="Tahoma"/>
            <family val="2"/>
          </rPr>
          <t>Chhaya Pathania:</t>
        </r>
        <r>
          <rPr>
            <sz val="9"/>
            <color indexed="81"/>
            <rFont val="Tahoma"/>
            <family val="2"/>
          </rPr>
          <t xml:space="preserve">
Flagged Partly: the Credit Cost Forecast Base Case already glides credit cost from 2.2% to 1.5%. Only improvement beyond that glide is incremental.</t>
        </r>
      </text>
    </comment>
    <comment ref="E9" authorId="0" shapeId="0" xr:uid="{E01290D2-DEAD-48F1-9EF6-FBB9B130925A}">
      <text>
        <r>
          <rPr>
            <b/>
            <sz val="9"/>
            <color indexed="81"/>
            <rFont val="Tahoma"/>
            <family val="2"/>
          </rPr>
          <t>Chhaya Pathania:</t>
        </r>
        <r>
          <rPr>
            <sz val="9"/>
            <color indexed="81"/>
            <rFont val="Tahoma"/>
            <family val="2"/>
          </rPr>
          <t xml:space="preserve">
Baseline sourced from Customer Analytics tab (illustrative FY26 cross-sell rate)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I9" authorId="0" shapeId="0" xr:uid="{01B43C2C-0913-4F2F-BDBB-6206AA7E36B3}">
      <text>
        <r>
          <rPr>
            <b/>
            <sz val="9"/>
            <color indexed="81"/>
            <rFont val="Tahoma"/>
            <family val="2"/>
          </rPr>
          <t>Chhaya Pathania:</t>
        </r>
        <r>
          <rPr>
            <sz val="9"/>
            <color indexed="81"/>
            <rFont val="Tahoma"/>
            <family val="2"/>
          </rPr>
          <t xml:space="preserve">
Illustrative — continues the sharp historical decline (₹2,967 Cr FY21 → ₹8.51 Cr FY26, KPIs &amp; Ratios tab) as the legacy operating-lease book winds down and is not being replenished.</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I9" authorId="0" shapeId="0" xr:uid="{000F22EF-7A05-4CB3-BB81-ED3965A10299}">
      <text>
        <r>
          <rPr>
            <b/>
            <sz val="9"/>
            <color indexed="81"/>
            <rFont val="Tahoma"/>
            <family val="2"/>
          </rPr>
          <t>Chhaya Pathania:</t>
        </r>
        <r>
          <rPr>
            <sz val="9"/>
            <color indexed="81"/>
            <rFont val="Tahoma"/>
            <family val="2"/>
          </rPr>
          <t xml:space="preserve">
DRIVEN liquidity balance (AUM × liquidity ratio), replacing cash-as-plug. Previously cash absorbed the mismatch between RWA-driven equity and a borrowings ratio held flat at 85.96% of AUM — which inflated forecast cash to implausible levels (~8.8% of AUM by FY31E). Borrowings are now the residual instead, so funding follows the capital structure.</t>
        </r>
      </text>
    </comment>
    <comment ref="I39" authorId="0" shapeId="0" xr:uid="{6A2121F1-387A-408E-9F31-B506F124468C}">
      <text>
        <r>
          <rPr>
            <b/>
            <sz val="9"/>
            <color indexed="81"/>
            <rFont val="Tahoma"/>
            <family val="2"/>
          </rPr>
          <t>Chhaya Pathania:</t>
        </r>
        <r>
          <rPr>
            <sz val="9"/>
            <color indexed="81"/>
            <rFont val="Tahoma"/>
            <family val="2"/>
          </rPr>
          <t xml:space="preserve">
RESIDUAL funding requirement, not a ratio. = Total assets − equity (RWA-driven) − non-debt liabilities, allocated across the three debt instruments by the FY2026A mix. Borrowing leverage is therefore an OUTPUT of the capital structure: regulatory capital determines equity, and debt funds the remainder. Previously borrowings were pinned at 85.96% of AUM independently of the capital position.</t>
        </r>
      </text>
    </comment>
    <comment ref="I55" authorId="0" shapeId="0" xr:uid="{862FA256-8366-464C-A76A-A89BB4B6B63C}">
      <text>
        <r>
          <rPr>
            <b/>
            <sz val="9"/>
            <color indexed="81"/>
            <rFont val="Tahoma"/>
            <family val="2"/>
          </rPr>
          <t>Chhaya Pathania:</t>
        </r>
        <r>
          <rPr>
            <sz val="9"/>
            <color indexed="81"/>
            <rFont val="Tahoma"/>
            <family val="2"/>
          </rPr>
          <t xml:space="preserve">
DRIVEN, not a ratio assumption. Forecast equity is now set by the Regulatory Capital schedule: product AUM × RBI risk weights → RWA (+ operational risk) × target CRAR = required capital. Previously this was AUM × 18.49%, an arbitrary ratio carried forward from FY26A that did not test regulatory adequacy. No circularity: RWA derives from loans and income, never from equity.</t>
        </r>
      </text>
    </comment>
    <comment ref="I60" authorId="0" shapeId="0" xr:uid="{CEE29375-E150-412A-8ED5-BB6003069974}">
      <text>
        <r>
          <rPr>
            <b/>
            <sz val="9"/>
            <color indexed="81"/>
            <rFont val="Tahoma"/>
            <family val="2"/>
          </rPr>
          <t>Now a DERIVED CONSEQUENCE of a driven requirement, not a balancing figure. = required closing capital − opening capital − PAT retained. Because closing capital is set by the RWA schedule at target CRAR, this line answers "how much equity must we raise to fund this growth plan within regulatory limits?" rather than "what number makes the balance sheet balance?"</t>
        </r>
      </text>
    </comment>
    <comment ref="C63" authorId="0" shapeId="0" xr:uid="{243D5818-DF58-4496-87C9-CA093FDB3337}">
      <text>
        <r>
          <rPr>
            <b/>
            <sz val="9"/>
            <color indexed="81"/>
            <rFont val="Tahoma"/>
            <family val="2"/>
          </rPr>
          <t>Chhaya Pathania:</t>
        </r>
        <r>
          <rPr>
            <sz val="9"/>
            <color indexed="81"/>
            <rFont val="Tahoma"/>
            <family val="2"/>
          </rPr>
          <t xml:space="preserve">
ILLUSTRATIVE liquidity assumption. FY26A actual cash was only 0.47% of AUM, but the Company reported ₹4,012 Cr surplus liquidity and an LCR of 199.6% at Q1 FY27, implying a materially higher operating liquidity buffer than the year-end snapshot suggests. 3% of AUM is a conservative steady-state assumption for an NBFC maintaining LCR compliance.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Chhaya Pathania</author>
  </authors>
  <commentList>
    <comment ref="I42" authorId="0" shapeId="0" xr:uid="{2968D0A5-B6C0-4F66-BFCD-F7CFCDE6D651}">
      <text>
        <r>
          <rPr>
            <b/>
            <sz val="9"/>
            <color indexed="81"/>
            <rFont val="Tahoma"/>
            <family val="2"/>
          </rPr>
          <t>Chhaya Pathania:</t>
        </r>
        <r>
          <rPr>
            <sz val="9"/>
            <color indexed="81"/>
            <rFont val="Tahoma"/>
            <family val="2"/>
          </rPr>
          <t xml:space="preserve">
Illustrative capex, scaled to branch network/technology growth (Operating Cost Forecast tab); not separately disclosed/forecast by the Company.</t>
        </r>
      </text>
    </comment>
  </commentList>
</comments>
</file>

<file path=xl/sharedStrings.xml><?xml version="1.0" encoding="utf-8"?>
<sst xmlns="http://schemas.openxmlformats.org/spreadsheetml/2006/main" count="1996" uniqueCount="1464">
  <si>
    <t>POONAWALLA FINCORP LIMITED — Consolidated Balance Sheet</t>
  </si>
  <si>
    <t>All amounts in Rs. Crore. FY2021 &amp; FY2022 originally reported in Rs. Lacs (Magma Fincorp / Poonawalla Fincorp Annual Reports); converted /100 for comparability. FY2023-FY2026 as originally reported in Rs. Crore.</t>
  </si>
  <si>
    <t>Source: Poonawalla Fincorp Limited (formerly Magma Fincorp Limited) Annual Reports FY2021-FY2026 (Consolidated Financial Statements, as audited). FY21 AR pgs 225-229; FY22 AR pgs 309-314; FY23 AR pgs 285-291; FY24 AR pgs 149-152; FY25 AR pgs 180-183; FY26 AR pgs 187-190.</t>
  </si>
  <si>
    <t>Particulars</t>
  </si>
  <si>
    <t>FY2021</t>
  </si>
  <si>
    <t>FY2022</t>
  </si>
  <si>
    <t>FY2023</t>
  </si>
  <si>
    <t>FY2024</t>
  </si>
  <si>
    <t>FY2025</t>
  </si>
  <si>
    <t>FY2026</t>
  </si>
  <si>
    <t>ASSETS</t>
  </si>
  <si>
    <t>1. Financial assets</t>
  </si>
  <si>
    <t>Cash and cash equivalents</t>
  </si>
  <si>
    <t>Bank balances other than cash and cash equivalents</t>
  </si>
  <si>
    <t>Derivative financial instruments (asset)</t>
  </si>
  <si>
    <t>Trade receivables</t>
  </si>
  <si>
    <t>Other receivables</t>
  </si>
  <si>
    <t>Loans</t>
  </si>
  <si>
    <t>Investments</t>
  </si>
  <si>
    <t>Other financial assets</t>
  </si>
  <si>
    <t>Total financial assets</t>
  </si>
  <si>
    <t>2. Non-financial assets</t>
  </si>
  <si>
    <t>Current tax assets (net)</t>
  </si>
  <si>
    <t>Deferred tax assets (net)</t>
  </si>
  <si>
    <t>Investment property</t>
  </si>
  <si>
    <t>Property, plant and equipment</t>
  </si>
  <si>
    <t>Intangible assets under development</t>
  </si>
  <si>
    <t>Goodwill</t>
  </si>
  <si>
    <t>Other intangible assets</t>
  </si>
  <si>
    <t>Right of use assets</t>
  </si>
  <si>
    <t>Other non-financial assets</t>
  </si>
  <si>
    <t>Total non-financial assets</t>
  </si>
  <si>
    <t>Assets held for sale</t>
  </si>
  <si>
    <t>Asset directly associated with Discontinued Operations</t>
  </si>
  <si>
    <t>Total Assets</t>
  </si>
  <si>
    <t>LIABILITIES</t>
  </si>
  <si>
    <t>1. Financial liabilities</t>
  </si>
  <si>
    <t>Derivative financial instruments (liability)</t>
  </si>
  <si>
    <t>Trade payables - dues to micro &amp; small enterprises</t>
  </si>
  <si>
    <t>Trade payables - dues to others</t>
  </si>
  <si>
    <t>Other payables - dues to micro &amp; small enterprises</t>
  </si>
  <si>
    <t>Other payables - dues to others</t>
  </si>
  <si>
    <t>Debt securities</t>
  </si>
  <si>
    <t>Borrowings (other than debt securities)</t>
  </si>
  <si>
    <t>Subordinated liabilities</t>
  </si>
  <si>
    <t>Lease liabilities</t>
  </si>
  <si>
    <t>Other financial liabilities</t>
  </si>
  <si>
    <t>Total financial liabilities</t>
  </si>
  <si>
    <t>2. Non-financial liabilities</t>
  </si>
  <si>
    <t>Current tax liabilities (net)</t>
  </si>
  <si>
    <t>Provisions</t>
  </si>
  <si>
    <t>Other non-financial liabilities</t>
  </si>
  <si>
    <t>Total non-financial liabilities</t>
  </si>
  <si>
    <t>Liabilities directly associated with Discontinued Operations</t>
  </si>
  <si>
    <t>EQUITY</t>
  </si>
  <si>
    <t>Equity share capital</t>
  </si>
  <si>
    <t>Other equity</t>
  </si>
  <si>
    <t>Minority Interest / Non-controlling interests</t>
  </si>
  <si>
    <t>Total equity</t>
  </si>
  <si>
    <t>Total liabilities and equity</t>
  </si>
  <si>
    <t>POONAWALLA FINCORP LIMITED — Consolidated Statement of Profit and Loss</t>
  </si>
  <si>
    <t>All amounts in Rs. Crore. FY2021 &amp; FY2022 originally reported in Rs. Lacs; converted /100 for comparability.</t>
  </si>
  <si>
    <t>Revenue from operations</t>
  </si>
  <si>
    <t>Interest income</t>
  </si>
  <si>
    <t>Rental income</t>
  </si>
  <si>
    <t>Fees and commission income</t>
  </si>
  <si>
    <t>Net gain on fair value changes</t>
  </si>
  <si>
    <t>Net gain on derecognition of financial instruments</t>
  </si>
  <si>
    <t>Total revenue from operations</t>
  </si>
  <si>
    <t>Other income</t>
  </si>
  <si>
    <t>Total income</t>
  </si>
  <si>
    <t>Expenses</t>
  </si>
  <si>
    <t>Finance costs</t>
  </si>
  <si>
    <t>Net loss on fair value changes</t>
  </si>
  <si>
    <t>Net loss on derecognition of financial instruments</t>
  </si>
  <si>
    <t>Impairment on financial instruments</t>
  </si>
  <si>
    <t>Employee benefits expenses</t>
  </si>
  <si>
    <t>Depreciation, amortisation and impairment</t>
  </si>
  <si>
    <t>Other expenses</t>
  </si>
  <si>
    <t>Total expenses</t>
  </si>
  <si>
    <t>Profit/(loss) before share of profit of JV, exceptional items and tax</t>
  </si>
  <si>
    <t>Share of profit of equity-accounted investee, net of tax</t>
  </si>
  <si>
    <t>Profit/(loss) before tax and exceptional items</t>
  </si>
  <si>
    <t>Exceptional items (net)</t>
  </si>
  <si>
    <t>Profit/(loss) before tax from continuing operations</t>
  </si>
  <si>
    <t>Current tax - current year</t>
  </si>
  <si>
    <t>Tax expense/(credit) for earlier years</t>
  </si>
  <si>
    <t>Deferred tax</t>
  </si>
  <si>
    <t>Total tax expense - continuing operations</t>
  </si>
  <si>
    <t>Profit/(loss) after tax from continuing operations</t>
  </si>
  <si>
    <t>Profit/(loss) before tax from discontinued operations</t>
  </si>
  <si>
    <t>Tax expense of discontinued operations</t>
  </si>
  <si>
    <t>Profit/(loss) after tax from discontinued operations</t>
  </si>
  <si>
    <t>Profit/(loss) for the year</t>
  </si>
  <si>
    <t>Other comprehensive income</t>
  </si>
  <si>
    <t>OCI: Items not reclassified to P&amp;L (net of tax)</t>
  </si>
  <si>
    <t>OCI: Items reclassified to P&amp;L (net of tax)</t>
  </si>
  <si>
    <t>OCI from discontinued operations (net of tax)</t>
  </si>
  <si>
    <t>Other comprehensive income for the year</t>
  </si>
  <si>
    <t>Total comprehensive income for the year</t>
  </si>
  <si>
    <t>Profit/(loss) for the year attributable to Owners of the Company</t>
  </si>
  <si>
    <t>Profit/(loss) for the year attributable to Non-controlling interests</t>
  </si>
  <si>
    <t>OCI for the year attributable to Owners of the Company</t>
  </si>
  <si>
    <t>OCI for the year attributable to Non-controlling interests</t>
  </si>
  <si>
    <t>TCI for the year attributable to Owners of the Company</t>
  </si>
  <si>
    <t>TCI for the year attributable to Non-controlling interests</t>
  </si>
  <si>
    <t>Earnings per equity share (continuing operations) - Basic (Rs)</t>
  </si>
  <si>
    <t>Earnings per equity share (continuing operations) - Diluted (Rs)</t>
  </si>
  <si>
    <t>Earnings per equity share (discontinued operations) - Basic (Rs)</t>
  </si>
  <si>
    <t>Earnings per equity share (discontinued operations) - Diluted (Rs)</t>
  </si>
  <si>
    <t>Earnings per equity share (total) - Basic (Rs)</t>
  </si>
  <si>
    <t>Earnings per equity share (total) - Diluted (Rs)</t>
  </si>
  <si>
    <t>POONAWALLA FINCORP LIMITED — Consolidated Statement of Cash Flows</t>
  </si>
  <si>
    <t>A. Cash flow from operating activities</t>
  </si>
  <si>
    <t>Profit/(loss) before tax (continuing + discontinued)</t>
  </si>
  <si>
    <t>Depreciation and amortisation expense</t>
  </si>
  <si>
    <t>Impairment on financial instruments (incl. exceptional items)</t>
  </si>
  <si>
    <t>Net gain on sale of investment in subsidiary/JV</t>
  </si>
  <si>
    <t>Net (gain)/loss on sale/fair value of investments</t>
  </si>
  <si>
    <t>Net (gain)/loss on fair value changes</t>
  </si>
  <si>
    <t>Net (gain) on derecognition of lease</t>
  </si>
  <si>
    <t>Net (gain)/loss on derecognition of property, plant and equipment</t>
  </si>
  <si>
    <t>Intangible assets under development written-off</t>
  </si>
  <si>
    <t>Expense on employee stock option scheme</t>
  </si>
  <si>
    <t>Interest on tax refund</t>
  </si>
  <si>
    <t>Interest on lease liabilities</t>
  </si>
  <si>
    <t>Gain on prepayment of debt</t>
  </si>
  <si>
    <t>Net (gain)/loss on derecognition of financial instruments</t>
  </si>
  <si>
    <t>Share of (profit)/loss of equity-accounted investee, net of tax</t>
  </si>
  <si>
    <t>Liabilities written back</t>
  </si>
  <si>
    <t>Operating cash flow before working capital changes</t>
  </si>
  <si>
    <t>Movement in working capital:</t>
  </si>
  <si>
    <t>(Increase)/decrease in receivables</t>
  </si>
  <si>
    <t>(Increase)/decrease in loans</t>
  </si>
  <si>
    <t>(Increase)/decrease in other financial assets</t>
  </si>
  <si>
    <t>(Increase)/decrease in other non-financial assets</t>
  </si>
  <si>
    <t>(Increase)/decrease in derivative financial instruments</t>
  </si>
  <si>
    <t>Increase/(decrease) in held for sale assets</t>
  </si>
  <si>
    <t>Increase/(decrease) in bank balances other than cash and cash equivalents</t>
  </si>
  <si>
    <t>Increase/(decrease) in payables</t>
  </si>
  <si>
    <t>Increase/(decrease) in other financial liabilities</t>
  </si>
  <si>
    <t>Increase/(decrease) in provisions</t>
  </si>
  <si>
    <t>Increase/(decrease) in other non-financial liabilities</t>
  </si>
  <si>
    <t>Net cash generated from/(used in) operating activities before taxes</t>
  </si>
  <si>
    <t>Income taxes paid (net of refunds)</t>
  </si>
  <si>
    <t>Net cash generated from/(used in) operating activities (A)</t>
  </si>
  <si>
    <t>B. Cash flow from investing activities</t>
  </si>
  <si>
    <t>Purchase of property, plant and equipment</t>
  </si>
  <si>
    <t>Proceeds from sale of property, plant and equipment</t>
  </si>
  <si>
    <t>Purchase of intangible assets</t>
  </si>
  <si>
    <t>Investment in fixed deposits</t>
  </si>
  <si>
    <t>Redemption of fixed deposits</t>
  </si>
  <si>
    <t>Investment in subsidiary</t>
  </si>
  <si>
    <t>Investment in joint venture</t>
  </si>
  <si>
    <t>Net proceeds from sale of investment in subsidiary (held for sale)</t>
  </si>
  <si>
    <t>Purchase of investments</t>
  </si>
  <si>
    <t>Proceeds from sale of investments</t>
  </si>
  <si>
    <t>(Purchase)/sale of investments (net)</t>
  </si>
  <si>
    <t>Investment by PFL Employee Welfare Trust (treasury shares)</t>
  </si>
  <si>
    <t>Sale/(Investment) by PFL Employee Welfare Trust (treasury shares)</t>
  </si>
  <si>
    <t>Net cash outflow from PFL Employee Welfare Trust activities</t>
  </si>
  <si>
    <t>Net cash generated from/(used in) investing activities (B)</t>
  </si>
  <si>
    <t>C. Cash flow from financing activities</t>
  </si>
  <si>
    <t>Proceeds from issue of long-term debentures/debt securities and subordinated liabilities</t>
  </si>
  <si>
    <t>Redemption of long-term debentures/debt securities and subordinated liabilities</t>
  </si>
  <si>
    <t>Proceeds from long term borrowings/Term loans</t>
  </si>
  <si>
    <t>Repayment of long term borrowings/Term loans</t>
  </si>
  <si>
    <t>Proceeds from long term borrowings - pass through certificate</t>
  </si>
  <si>
    <t>Repayment of long term borrowings - pass through certificate</t>
  </si>
  <si>
    <t>Proceeds from borrowings by PFL Employee Welfare Trust</t>
  </si>
  <si>
    <t>Loans/repayment repayable on demand incl. commercial papers (net)</t>
  </si>
  <si>
    <t>Interest on lease liability</t>
  </si>
  <si>
    <t>Principal portion of lease liability</t>
  </si>
  <si>
    <t>Proceeds from issue of equity shares including securities premium</t>
  </si>
  <si>
    <t>Share issue expense</t>
  </si>
  <si>
    <t>Dividend paid (including tax thereon)</t>
  </si>
  <si>
    <t>Net cash generated from/(used in) financing activities (C)</t>
  </si>
  <si>
    <t>Net increase/(decrease) in cash and cash equivalents (A+B+C)</t>
  </si>
  <si>
    <t>Cash and cash equivalents at the beginning of the year</t>
  </si>
  <si>
    <t>Cash and cash equivalents for the discontinued operations</t>
  </si>
  <si>
    <t>Cash and cash equivalents at the end of the year</t>
  </si>
  <si>
    <t>POONAWALLA FINCORP LIMITED — Consolidated Statement of Changes in Equity</t>
  </si>
  <si>
    <t>All amounts in Rs. Crore. FY2021 &amp; FY2022 originally reported in Rs. Lacs; converted /100 for comparability. Movement lines reflect each year's OWN annual report (current-year column); opening balances may differ from prior column's closing balance where restated for discontinued operations/subsidiary divestment.</t>
  </si>
  <si>
    <t>A. Equity Share Capital</t>
  </si>
  <si>
    <t>Balance at the beginning of the year</t>
  </si>
  <si>
    <t>Changes in equity share capital during the year</t>
  </si>
  <si>
    <t>Balance at the end of the year</t>
  </si>
  <si>
    <t>B. Other Equity - Reserves &amp; Surplus</t>
  </si>
  <si>
    <t>Capital Reserve - closing balance</t>
  </si>
  <si>
    <t>Securities Premium - closing balance</t>
  </si>
  <si>
    <t>Statutory Reserve u/s 45-IC of RBI Act, 1934 - closing balance</t>
  </si>
  <si>
    <t>Statutory Reserve u/s 29C of National Housing Bank Act, 1987 - closing balance</t>
  </si>
  <si>
    <t>Capital Redemption Reserve - closing balance</t>
  </si>
  <si>
    <t>Share Option Outstanding Account - closing balance</t>
  </si>
  <si>
    <t>Treasury Shares (PFL Employee Welfare Trust) - closing balance</t>
  </si>
  <si>
    <t>Trust Reserve - closing balance</t>
  </si>
  <si>
    <t>Retained Earnings - closing balance</t>
  </si>
  <si>
    <t>Financial instruments through OCI reserve - closing balance</t>
  </si>
  <si>
    <t>Cash flow hedge reserve - closing balance</t>
  </si>
  <si>
    <t>Total Other Equity - closing balance</t>
  </si>
  <si>
    <t>C. Key movements during the year (Other Equity)</t>
  </si>
  <si>
    <t>Profit/(loss) for the year (Owners)</t>
  </si>
  <si>
    <t>Other comprehensive income for the year (Owners)</t>
  </si>
  <si>
    <t>Total comprehensive income for the year (Owners)</t>
  </si>
  <si>
    <t>Dividend paid</t>
  </si>
  <si>
    <t>Transfer to/(from) retained earnings (to statutory reserves)</t>
  </si>
  <si>
    <t>Issue of equity shares / Share premium on preferential allotment</t>
  </si>
  <si>
    <t>Share based payment to employees</t>
  </si>
  <si>
    <t>Transfer on account of sale of subsidiary</t>
  </si>
  <si>
    <t>Minority interest adjustment</t>
  </si>
  <si>
    <t>Net income/(loss) of PFL Employee Welfare Trust for the year</t>
  </si>
  <si>
    <t>Fair value gain/(loss) on PFL EWT shares</t>
  </si>
  <si>
    <t>Purchase/(sale) of shares by PFL EWT during the year</t>
  </si>
  <si>
    <t>Premium on issue of non-convertible debentures</t>
  </si>
  <si>
    <t>Check: Total Assets minus Total Liabilities &amp; Equity (should be 0)</t>
  </si>
  <si>
    <t>POONAWALLA FINCORP LIMITED — Executive Dashboard (Key Performance Indicators)</t>
  </si>
  <si>
    <t>Source: Poonawalla Fincorp Annual Reports FY2022 (MD&amp;A pg.100), FY2023 (MD&amp;A pg.77-78), FY2024 (Board's Report pg.28), FY2025 (KPI pg.22, pg.34), FY2026 (KPI pg.19, Board's Report pg.35)</t>
  </si>
  <si>
    <t>GROWTH</t>
  </si>
  <si>
    <t>Assets Under Management / Loan Book (₹ Cr)</t>
  </si>
  <si>
    <t>AUM YoY Growth %</t>
  </si>
  <si>
    <t>Disbursements (₹ Cr)</t>
  </si>
  <si>
    <t>Customer Base (Lakh)</t>
  </si>
  <si>
    <t>Branch Network (count)</t>
  </si>
  <si>
    <t>PROFITABILITY</t>
  </si>
  <si>
    <t>Net Interest Income incl. fee/other income (₹ Cr)</t>
  </si>
  <si>
    <t>Pre-Provisioning Operating Profit – PPOP (₹ Cr)</t>
  </si>
  <si>
    <t>Profit After Tax (₹ Cr)</t>
  </si>
  <si>
    <t>PAT (Consolidated, per Statement of P&amp;L in this workbook) (₹ Cr)</t>
  </si>
  <si>
    <t>Return on Assets – ROA %</t>
  </si>
  <si>
    <t>Return on Equity – ROE % (Consolidated)</t>
  </si>
  <si>
    <t>Net Interest Margin – NIM %</t>
  </si>
  <si>
    <t>ASSET QUALITY &amp; CAPITAL</t>
  </si>
  <si>
    <t>Gross NPA %</t>
  </si>
  <si>
    <t>Net NPA %</t>
  </si>
  <si>
    <t>Capital Adequacy Ratio – CRAR % (Standalone)</t>
  </si>
  <si>
    <t>Shareholders' Funds, net of treasury shares (₹ Cr)</t>
  </si>
  <si>
    <t>COST &amp; EFFICIENCY</t>
  </si>
  <si>
    <t>Total Income, Standalone (₹ Cr) – input</t>
  </si>
  <si>
    <t>Operating Expenses, Standalone (₹ Cr) – input</t>
  </si>
  <si>
    <t>Cost-to-Income Ratio %</t>
  </si>
  <si>
    <t>Cost of Borrowing %</t>
  </si>
  <si>
    <t>POONAWALLA FINCORP LIMITED — Treasury &amp; Borrowing Mix (Consolidated)</t>
  </si>
  <si>
    <t>Borrowing-mix figures are formula-linked to the Balance Sheet sheet in this workbook (₹ Crore). Cost of Borrowing % is a disclosed standalone figure (see notes); Implied Cost of Funds is computed as a cross-check.</t>
  </si>
  <si>
    <t>Debt securities (₹ Cr)</t>
  </si>
  <si>
    <t>Borrowings other than debt securities (₹ Cr)</t>
  </si>
  <si>
    <t>Subordinated liabilities (₹ Cr)</t>
  </si>
  <si>
    <t>Total Borrowings (₹ Cr)</t>
  </si>
  <si>
    <t>BORROWING MIX (% of Total)</t>
  </si>
  <si>
    <t>Debt securities %</t>
  </si>
  <si>
    <t>Borrowings (other than debt securities) %</t>
  </si>
  <si>
    <t>Subordinated liabilities %</t>
  </si>
  <si>
    <t>COST OF FUNDS</t>
  </si>
  <si>
    <t>Finance costs, Consolidated (₹ Cr)</t>
  </si>
  <si>
    <t>Average Total Borrowings (₹ Cr)</t>
  </si>
  <si>
    <t>Implied Cost of Funds % (Finance costs ÷ Avg. borrowings)</t>
  </si>
  <si>
    <t>Cost of Borrowing % (as disclosed, standalone)</t>
  </si>
  <si>
    <t>FY2026A</t>
  </si>
  <si>
    <t>FY2027E</t>
  </si>
  <si>
    <t>FY2028E</t>
  </si>
  <si>
    <t>FY2029E</t>
  </si>
  <si>
    <t>FY2030E</t>
  </si>
  <si>
    <t>FY2031E</t>
  </si>
  <si>
    <t>AUM / Loan Book (₹ Cr)</t>
  </si>
  <si>
    <t>Interest Income (₹ Cr)</t>
  </si>
  <si>
    <t>Average Borrowings (₹ Cr)</t>
  </si>
  <si>
    <t>Credit Cost / Provisions (₹ Cr)</t>
  </si>
  <si>
    <t>Product</t>
  </si>
  <si>
    <t>AUM (₹ Cr)</t>
  </si>
  <si>
    <t>Cost of Funds % (Illustrative)</t>
  </si>
  <si>
    <t>Opex % of AUM (Illustrative)</t>
  </si>
  <si>
    <t>Credit Cost % of AUM (Illustrative)</t>
  </si>
  <si>
    <t>Net Margin %</t>
  </si>
  <si>
    <t>Est. Profit (₹ Cr)</t>
  </si>
  <si>
    <t>Loan Against Property (LAP)</t>
  </si>
  <si>
    <t>Gold Loan</t>
  </si>
  <si>
    <t>Consumer Durable Loan</t>
  </si>
  <si>
    <t>Education Loan</t>
  </si>
  <si>
    <t>TOTAL / WEIGHTED AVERAGE</t>
  </si>
  <si>
    <t>Avg. AUM per Branch (₹ Cr)</t>
  </si>
  <si>
    <t>POONAWALLA FINCORP LIMITED — Customer Analytics (Illustrative)</t>
  </si>
  <si>
    <t>ILLUSTRATIVE MODEL: Only the FY2026 customer base (22+ lakh) is company-disclosed (blue, cited). Customer counts for other years, acquisition, retention, CAC and cross-sell figures are illustrative assumptions (yellow) for demonstration purposes only.</t>
  </si>
  <si>
    <t>Cumulative Customer Base (Lakh) – illustrative trend to disclosed FY26 actual</t>
  </si>
  <si>
    <t>New Customers Added (Lakh)</t>
  </si>
  <si>
    <t>Illustrative Customer Acquisition Cost – CAC (₹)</t>
  </si>
  <si>
    <t>Illustrative Repeat / Cross-sell Rate %</t>
  </si>
  <si>
    <t>Avg. AUM per Customer (₹)</t>
  </si>
  <si>
    <t>Yield on AUM %</t>
  </si>
  <si>
    <t>Cost of Funds %</t>
  </si>
  <si>
    <t>POONAWALLA FINCORP LIMITED — Value Creation Tracker (Illustrative)</t>
  </si>
  <si>
    <t>ILLUSTRATIVE FP&amp;A initiative pipeline for discussion purposes — initiative selection, baselines and impact estimates are illustrative, not company targets or commitments.</t>
  </si>
  <si>
    <t>Value Driver</t>
  </si>
  <si>
    <t>Initiative</t>
  </si>
  <si>
    <t>KPI</t>
  </si>
  <si>
    <t>Baseline (FY26)</t>
  </si>
  <si>
    <t>Target</t>
  </si>
  <si>
    <t>Est. Financial Impact (₹ Cr p.a.)</t>
  </si>
  <si>
    <t>Timeline</t>
  </si>
  <si>
    <t>Owner</t>
  </si>
  <si>
    <t>Profitability</t>
  </si>
  <si>
    <t>Branch productivity uplift (staggered gold-loan branch ramp-up)</t>
  </si>
  <si>
    <t>6 months</t>
  </si>
  <si>
    <t>Branch Operations</t>
  </si>
  <si>
    <t>Growth</t>
  </si>
  <si>
    <t>Digital/DSA channel mix optimisation to lower CAC</t>
  </si>
  <si>
    <t>Customer Acquisition Cost (₹)</t>
  </si>
  <si>
    <t>4 months</t>
  </si>
  <si>
    <t>Marketing / Growth</t>
  </si>
  <si>
    <t>Capital Allocation</t>
  </si>
  <si>
    <t>Treasury diversification — higher NCD mix, longer tenor</t>
  </si>
  <si>
    <t>12 months</t>
  </si>
  <si>
    <t>Treasury</t>
  </si>
  <si>
    <t>Risk</t>
  </si>
  <si>
    <t>Predictive collections analytics for early-bucket flows</t>
  </si>
  <si>
    <t>GNPA %</t>
  </si>
  <si>
    <t>9 months</t>
  </si>
  <si>
    <t>Risk &amp; Collections</t>
  </si>
  <si>
    <t>Productivity</t>
  </si>
  <si>
    <t>Cross-sell to existing customer base via analytics-led targeting</t>
  </si>
  <si>
    <t>Repeat / Cross-sell Rate %</t>
  </si>
  <si>
    <t>Product / Analytics</t>
  </si>
  <si>
    <t>TOTAL ESTIMATED ANNUALISED IMPACT</t>
  </si>
  <si>
    <t>FP&amp;A Value Creation Framework</t>
  </si>
  <si>
    <t>The conceptual loop connecting strategy to shareholder value — every tab in this workbook maps to one stage below.</t>
  </si>
  <si>
    <t>1. BUSINESS STRATEGY</t>
  </si>
  <si>
    <t>Diversify product mix (13 loan products), scale secured lending (Gold Loan, LAP), deepen phygital distribution, AI-led underwriting &amp; collections.</t>
  </si>
  <si>
    <t>↓</t>
  </si>
  <si>
    <t>2. BUSINESS DRIVERS</t>
  </si>
  <si>
    <t>AUM growth, disbursement volumes, yield on AUM, cost of funds, credit cost, branch/channel productivity, customer acquisition &amp; cross-sell.</t>
  </si>
  <si>
    <t>3. FP&amp;A ANALYSIS</t>
  </si>
  <si>
    <t>Driver-based forecasting (Driver-Based Forecast tab), product/branch/customer profitability, scenario &amp; sensitivity analysis, budget-vs-actual variance.</t>
  </si>
  <si>
    <t>4. EXECUTIVE INSIGHTS</t>
  </si>
  <si>
    <t>Distil analysis into a small number of decision-ready insights — e.g. cost-of-borrowing headroom, branch productivity gaps, product-mix profitability skew.</t>
  </si>
  <si>
    <t>5. MANAGEMENT DECISIONS</t>
  </si>
  <si>
    <t>Capital allocation, pricing &amp; risk-appetite calibration, treasury funding strategy, branch network investment, cost actions (Value Creation Tracker tab).</t>
  </si>
  <si>
    <t>6. BUSINESS PERFORMANCE</t>
  </si>
  <si>
    <t>Realised AUM growth, NIM, GNPA/NNPA, Cost-to-Income, ROA/ROE — tracked on the Executive Dashboard tab.</t>
  </si>
  <si>
    <t>7. SHAREHOLDER VALUE</t>
  </si>
  <si>
    <t>Sustainable PAT growth, improving ROE, capital efficiency, stronger credit ratings and lower cost of capital.</t>
  </si>
  <si>
    <t>↺ Continuous loop: realised Business Performance and Shareholder Value outcomes feed back into the next Business Strategy review.</t>
  </si>
  <si>
    <t>POONAWALLA FINCORP LIMITED — NBFC KPIs &amp; Financial Ratios (Consolidated)</t>
  </si>
  <si>
    <t>GROWTH METRICS (YoY %)</t>
  </si>
  <si>
    <t>Total Assets Growth %</t>
  </si>
  <si>
    <t>Total Income Growth %</t>
  </si>
  <si>
    <t>PAT Growth %</t>
  </si>
  <si>
    <t>Net Worth (Total Equity) Growth %</t>
  </si>
  <si>
    <t>PROFITABILITY RATIOS</t>
  </si>
  <si>
    <t>Net Interest Income – NII (₹ Cr) [Interest Income − Finance Costs]</t>
  </si>
  <si>
    <t>Average Total Assets (₹ Cr)</t>
  </si>
  <si>
    <t>Net Interest Margin – NIM % (NII ÷ Avg. Total Assets)</t>
  </si>
  <si>
    <t>Average Loans (₹ Cr)</t>
  </si>
  <si>
    <t>Yield on Advances % (Interest Income ÷ Avg. Loans)</t>
  </si>
  <si>
    <t>Cost of Funds % (Finance Costs ÷ Avg. Borrowings, linked from Treasury)</t>
  </si>
  <si>
    <t>Interest Spread % (Yield − Cost of Funds)</t>
  </si>
  <si>
    <t>Operating Expenses (₹ Cr) [Employee costs + D&amp;A + Other expenses]</t>
  </si>
  <si>
    <t>Net Total Income (₹ Cr) [Total Income − Finance Costs]</t>
  </si>
  <si>
    <t>Cost-to-Income Ratio % (Opex ÷ Net Total Income)</t>
  </si>
  <si>
    <t>Pre-Provisioning Operating Profit – PPOP (₹ Cr) [Net Total Income − Opex]</t>
  </si>
  <si>
    <t>Average Total Equity (₹ Cr)</t>
  </si>
  <si>
    <t>Return on Assets – ROA % (PAT ÷ Avg. Total Assets)</t>
  </si>
  <si>
    <t>Return on Equity – ROE % (PAT ÷ Avg. Total Equity)</t>
  </si>
  <si>
    <t>ASSET QUALITY</t>
  </si>
  <si>
    <t>Credit Cost % (Impairment on Fin. Instruments ÷ Avg. Loans)</t>
  </si>
  <si>
    <t>Gross NPA % (linked, company-disclosed)</t>
  </si>
  <si>
    <t>Net NPA % (linked, company-disclosed)</t>
  </si>
  <si>
    <t>Implied Provision Coverage Ratio % (1 − NNPA ÷ GNPA)</t>
  </si>
  <si>
    <t>CAPITAL STRUCTURE &amp; LEVERAGE</t>
  </si>
  <si>
    <t>Total Borrowings (₹ Cr, linked from Treasury)</t>
  </si>
  <si>
    <t>Debt-to-Equity Ratio (x) (Total Borrowings ÷ Total Equity)</t>
  </si>
  <si>
    <t>Borrowings / Total Assets %</t>
  </si>
  <si>
    <t>Equity / Total Assets % (Capitalisation Ratio)</t>
  </si>
  <si>
    <t>LIQUIDITY</t>
  </si>
  <si>
    <t>Cash &amp; Cash Equivalents / Total Assets %</t>
  </si>
  <si>
    <t>Cash &amp; Cash Equivalents / Total Borrowings %</t>
  </si>
  <si>
    <t>PER SHARE METRICS</t>
  </si>
  <si>
    <t>Face Value per Share (₹)</t>
  </si>
  <si>
    <t>Shares Outstanding (Cr) (Equity Share Capital ÷ Face Value)</t>
  </si>
  <si>
    <t>Basic EPS (₹, linked from Profit &amp; Loss)</t>
  </si>
  <si>
    <t>Diluted EPS (₹, linked from Profit &amp; Loss)</t>
  </si>
  <si>
    <t>Book Value per Share (₹) (Total Equity ÷ Shares Outstanding)</t>
  </si>
  <si>
    <t>Disbursements (₹ Cr, company-disclosed)</t>
  </si>
  <si>
    <t>Disbursement Growth %</t>
  </si>
  <si>
    <t>Customer Base (Lakh, linked from Customer Analytics tab)</t>
  </si>
  <si>
    <t>Customer Growth %</t>
  </si>
  <si>
    <t>Profit After Tax – PAT (₹ Cr, linked from Profit &amp; Loss)</t>
  </si>
  <si>
    <t>Collection Efficiency % — not numerically disclosed by the Company (qualitative commentary only, e.g. “improved collection efficiency”, AR FY2024-26); left blank rather than estimated</t>
  </si>
  <si>
    <t>Efficiency</t>
  </si>
  <si>
    <t>Employees (count, company-disclosed)</t>
  </si>
  <si>
    <t>Revenue per Employee (₹ Cr) (Total Income ÷ Employees)</t>
  </si>
  <si>
    <t>Profit per Branch (₹ Cr, illustrative — linked from Branch Profitability tab)</t>
  </si>
  <si>
    <t>Average Ticket Size (₹ Lakh, illustrative assumption)</t>
  </si>
  <si>
    <t>Est. Number of Loans Disbursed (Lakh, illustrative) = Disbursements ÷ Ticket Size</t>
  </si>
  <si>
    <t>Cost per Loan (₹ Lakh, illustrative) = Opex ÷ Number of Loans</t>
  </si>
  <si>
    <t>Liquidity Coverage Ratio – LCR % (company-disclosed, standalone)</t>
  </si>
  <si>
    <t>Market Share % — not numerically disclosed by the Company (only qualitative “gaining market share each year”, AR FY2025 pg.4); left blank rather than estimated</t>
  </si>
  <si>
    <t>Number of Loan Products (count, company-disclosed)</t>
  </si>
  <si>
    <t>Cross-sell / Repeat Rate % (illustrative — linked from Customer Analytics tab)</t>
  </si>
  <si>
    <t>Fee &amp; Commission Income (₹ Cr, linked from Profit &amp; Loss)</t>
  </si>
  <si>
    <t>Fee Income % of Total Income</t>
  </si>
  <si>
    <t>Secured Lending Mix % (on-book AUM, company-disclosed)</t>
  </si>
  <si>
    <t>Unsecured Lending Mix %</t>
  </si>
  <si>
    <t>Operating Leverage (ppt) = Total Income Growth % − Opex Growth %</t>
  </si>
  <si>
    <t>Fraud Loss (₹ Cr / %) — not disclosed by the Company in any of the FY2021-FY2026 Annual Reports; left blank rather than estimated</t>
  </si>
  <si>
    <t>Branch Productivity – Avg. AUM per Branch (₹ Cr, illustrative — linked from Branch Profitability tab)</t>
  </si>
  <si>
    <t>Digital Adoption – DDP Contribution % of Disbursements (company-disclosed)</t>
  </si>
  <si>
    <t>EFFICIENCY</t>
  </si>
  <si>
    <t>RISK DRIVER</t>
  </si>
  <si>
    <t>Rationale / Source</t>
  </si>
  <si>
    <t>Standard Indian corporate tax rate under Section 115BAA (25.17% incl. surcharge &amp; cess), applicable to most Indian companies opting for the lower tax regime.</t>
  </si>
  <si>
    <t>POONAWALLA FINCORP LIMITED — Forecast Assumptions (FY2027E–FY2031E)</t>
  </si>
  <si>
    <t>Macro assumptions are calibrated to FY2026 disclosed actuals and RBI's medium-term policy targets (illustrative glide, not an official RBI/IMF forecast). Strategic assumptions (branch, productivity) are calibrated to the Company's own disclosed FY2026 network and headcount. All feed the Business Drivers sheet.</t>
  </si>
  <si>
    <t>MACRO ASSUMPTIONS</t>
  </si>
  <si>
    <t>Real GDP Growth %</t>
  </si>
  <si>
    <t>FY2026A: "GDP growth improved to 7.7% in FY26 from 7.1% in FY25" (AR FY2026 pg.20). Forecast years: illustrative normalisation toward India's medium-term potential growth (~6.5%); not an official RBI/IMF projection.</t>
  </si>
  <si>
    <t>Inflation (CPI) %</t>
  </si>
  <si>
    <t>FY2026A: "Inflation cooled off to 1.8% during the year" (AR FY2026 pg.20). Forecast years: illustrative normalisation toward RBI's 4% medium-term CPI target (mid-point of the 2-6% band).</t>
  </si>
  <si>
    <t>RBI Repo Rate % (year-end)</t>
  </si>
  <si>
    <t>FY2026A: "RBI reduced the repo rate by a cumulative 100 bps, bringing it down to 5.25% by December 31, 2025" (AR FY2026 pg.20). Forecast years: illustrative mild normalisation as inflation firms toward target; not an official RBI forecast.</t>
  </si>
  <si>
    <t>NBFC Industry AUM / Credit Growth %</t>
  </si>
  <si>
    <t>"AUM of NBFCs are expected to grow steadily at 16-19% during FY26 and FY27... sector's AUM is projected to cross ₹30 Lakh Crore by March 2027" (AR FY2026 pg.20, source: CRISIL). FY28-31: illustrative taper toward a long-run industry average (~14%). Used as a cross-check on Company AUM growth, not a direct driver.</t>
  </si>
  <si>
    <t>STRATEGIC / OPERATING ASSUMPTIONS</t>
  </si>
  <si>
    <t>Net Branch Additions (count, p.a.)</t>
  </si>
  <si>
    <t>Decelerating expansion pace as the network matures. FY2026A base: "500+ branches (incl. 400 gold loan branches)" (AR FY2026 pg.2). Gold Loan branch build-out was itself rapid in FY26 (+400); assumed to moderate as coverage scales.</t>
  </si>
  <si>
    <t>Employees per Branch (avg., productivity ratio)</t>
  </si>
  <si>
    <t>FY2026A actual: 5,860 employees ÷ 500 branches = 11.72 (AR FY2026 pg.4 and pg.2, KPIs &amp; Ratios tab). Gradual improvement assumed as digital/AI-led underwriting and collections reduce headcount intensity per branch (AR FY2026 pg.24-26 on AI/automation initiatives).</t>
  </si>
  <si>
    <t>Wage Inflation % p.a. (cost per employee growth)</t>
  </si>
  <si>
    <t>Illustrative assumption consistent with typical Indian BFSI wage inflation (~8%), moderating slightly as inflation normalises toward the RBI target (row 8).</t>
  </si>
  <si>
    <t>POONAWALLA FINCORP LIMITED — Business Drivers (Customers → Loan Size → Disbursement → AUM)</t>
  </si>
  <si>
    <t>This is the core driver chain. AUM is DERIVED from Customers, Avg Loan Size, Cross-sell and Portfolio Runoff — it is not assumed directly. Branches and Employees are forecast separately and feed the Operating Cost Forecast sheet.</t>
  </si>
  <si>
    <t>1. CUSTOMER &amp; DISBURSEMENT DRIVERS</t>
  </si>
  <si>
    <t>Illustrative acquisition pace, scaled to branch expansion (row 25) and the Company's disclosed multi-product distribution build-out. FY2026A base: "over twenty two lakh customers" (AR FY2026 pg.35).</t>
  </si>
  <si>
    <t>Cross-sell Penetration Rate % (of prior cumulative customers)</t>
  </si>
  <si>
    <t>Linked from Customer Analytics tab (illustrative FY2026 rate 27%); gradual improvement assumed, consistent with the Company's stated "cross-sell to high-value cohorts at low acquisition cost" strategy (AR FY2025 pg.4).</t>
  </si>
  <si>
    <t>FY2026A: "over twenty two lakh customers as of March 31, 2026" (AR FY2026 pg.35).</t>
  </si>
  <si>
    <t>Average Loan Size (₹ Lakh)</t>
  </si>
  <si>
    <t>Illustrative blended ticket size across the secured (LAP ~₹3-8L, Gold Loan smaller) and unsecured (Personal/Business Loan ~₹1-3L) mix, rising gradually with ticket-size inflation. Individual product ticket ranges disclosed in AR FY2026 pg.60-61.</t>
  </si>
  <si>
    <t>Disbursement to Existing Customers / Cross-sell (₹ Cr)</t>
  </si>
  <si>
    <t>Total Disbursement (₹ Cr)</t>
  </si>
  <si>
    <t>2. LOAN BOOK ROLL-FORWARD (AUM is DERIVED here, not assumed)</t>
  </si>
  <si>
    <t>Portfolio Runoff Rate % (repayments/amortisation, % of opening AUM)</t>
  </si>
  <si>
    <t>Illustrative assumption for a mixed-tenure retail/MSME book (loan tenures typically range 6-72 months per AR FY2026 pg.60-61); ~35% straight-line runoff approximates a blended average tenure of ~3 years. Held flat as the mix is assumed broadly stable.</t>
  </si>
  <si>
    <t>Opening AUM (₹ Cr)</t>
  </si>
  <si>
    <t>(+) Disbursements (₹ Cr)</t>
  </si>
  <si>
    <t>(−) Repayments / Runoff (₹ Cr)</t>
  </si>
  <si>
    <t>Closing AUM / Loan Book (₹ Cr)</t>
  </si>
  <si>
    <t>AUM Growth % YoY</t>
  </si>
  <si>
    <t>(Memo) AUM as multiple of FY2025A base (₹35,631 Cr)</t>
  </si>
  <si>
    <t>Cross-check vs management's disclosed guidance of "5-6x AUM growth over the next 5 years (FY25 onwards)" (AR FY2026 pg.2-3). FY2030E (5 years from FY25) shows here.</t>
  </si>
  <si>
    <t>3. BRANCH &amp; EMPLOYEE DRIVERS</t>
  </si>
  <si>
    <t>Net Branch Additions (count, linked from Assumptions)</t>
  </si>
  <si>
    <t>Branch Count (cumulative)</t>
  </si>
  <si>
    <t>FY2026A: "500+ branches (including 400 gold loan branches)" (AR FY2026 pg.2).</t>
  </si>
  <si>
    <t>Employees per Branch (linked from Assumptions)</t>
  </si>
  <si>
    <t>Employees (count)</t>
  </si>
  <si>
    <t>FY2026A: "5,860 Employees" (AR FY2026 pg.4). Forecast = Branch Count × Employees per Branch ratio (row 28).</t>
  </si>
  <si>
    <t>Average AUM per Branch (₹ Cr)</t>
  </si>
  <si>
    <t>POONAWALLA FINCORP LIMITED — Revenue Forecast (Average AUM × Yield = Interest Income)</t>
  </si>
  <si>
    <t>Average AUM is linked from Business Drivers (derived from the Customer/Disbursement chain). Interest Income = Average AUM × Gross Yield. Fee and Other Income are forecast as a % of AUM.</t>
  </si>
  <si>
    <t>Average AUM (₹ Cr, linked from Business Drivers)</t>
  </si>
  <si>
    <t>FY2026A consolidated Yield on Advances was ~13.9% (KPIs &amp; Ratios tab). Gradual compression assumed as management continues shifting mix toward secured products (secured mix 49%→57%→54% across FY24-26, AR FY2024 pg.20, FY2025 pg.24, FY2026 pg.35/58); Gold Loan/LAP carry lower yields than unsecured Personal Loans.</t>
  </si>
  <si>
    <t>Fee &amp; Commission Income, % of AUM</t>
  </si>
  <si>
    <t>FY2026A actual: Fee &amp; Commission Income ₹419.75 Cr ÷ AUM ₹55,951 Cr = 0.75% (Profit &amp; Loss / Balance Sheet tabs). Modest improvement assumed with growing new-product cross-sell.</t>
  </si>
  <si>
    <t>Fee &amp; Commission Income (₹ Cr)</t>
  </si>
  <si>
    <t>Other Income, % of AUM</t>
  </si>
  <si>
    <t>FY2026A actual: (Other Income + Rental Income + Net gains) ÷ AUM ≈ 0.6% (Profit &amp; Loss tab). Held broadly flat.</t>
  </si>
  <si>
    <t>Other Income (₹ Cr)</t>
  </si>
  <si>
    <t>Total Income (₹ Cr)</t>
  </si>
  <si>
    <t>POONAWALLA FINCORP LIMITED — Funding Forecast (Borrowings, Cost of Funds, Interest Expense)</t>
  </si>
  <si>
    <t>AUM / Loan Book (₹ Cr, linked from Business Drivers)</t>
  </si>
  <si>
    <t>Continues the disclosed downtrend (Cost of Borrowing: FY24 8.06% → FY25 8.09% → FY26 7.73%, AR FY2026 pg.19), aided by the RBI's cumulative 100bps repo rate cut in FY26 (linked to Assumptions row 9) and rising NCD diversification (AR FY2025 pg.22-23). Floors near 7.0%, in line with the Company's AAA/Stable rating (CRISIL, CARE).</t>
  </si>
  <si>
    <t>Interest Expense / Finance Costs (₹ Cr)</t>
  </si>
  <si>
    <t>(Memo) FY2026A Total Equity, Consolidated (₹ Cr)</t>
  </si>
  <si>
    <t>POONAWALLA FINCORP LIMITED — Credit Cost Forecast (GNPA, NNPA, PCR, Credit Cost)</t>
  </si>
  <si>
    <t>Asset-quality ratios are forecast directly (glide path); Credit Cost (₹) is derived from Average AUM × Credit Cost %, and flows into the P&amp;L Forecast.</t>
  </si>
  <si>
    <t>FY2026A: 1.44% (AR FY2026 pg.19/35, KPIs &amp; Ratios tab). Gradual improvement assumed as underwriting matures and secured mix rises (54% in FY26, AR pg.35/58), consistent with the disclosed trend (3.29% FY22 → 1.44% FY23 → 1.16% FY24).</t>
  </si>
  <si>
    <t>FY2026A: 0.74% (AR FY2026 pg.19/35, KPIs &amp; Ratios tab). Moves consistently with the GNPA glide above.</t>
  </si>
  <si>
    <t>Provision Coverage Ratio % (= 1 − NNPA ÷ GNPA)</t>
  </si>
  <si>
    <t>Derived. FY2025A disclosed PCR was 54.47% (AR FY2025 pg.34), broadly consistent with the level implied here.</t>
  </si>
  <si>
    <t>Average AUM (₹ Cr, linked from Revenue Forecast)</t>
  </si>
  <si>
    <t>FY2026A consolidated credit cost was ~2.5% (KPIs &amp; Ratios tab), still elevated from the FY2025 STPL book recalibration. Assumed to normalise in line with the GNPA/NNPA improvement above, converging toward a typical diversified-NBFC long-run level.</t>
  </si>
  <si>
    <t>POONAWALLA FINCORP LIMITED — Operating Cost Forecast (by Category)</t>
  </si>
  <si>
    <t>Each cost category is forecast on its own driver, not as one lump Opex line. FY2026A Employee Cost is the Company's actual disclosed figure; the FY2026A split of the remaining costs (Branch/Technology/Marketing/Collections/Other) into sub-categories is an ILLUSTRATIVE allocation of the disclosed “Other expenses” and D&amp;A lines, since the Company does not disclose this breakdown.</t>
  </si>
  <si>
    <t>1. EMPLOYEE COST (driven by Headcount)</t>
  </si>
  <si>
    <t>Employees (count, linked from Business Drivers)</t>
  </si>
  <si>
    <t>Cost per Employee (₹ Lakh p.a.)</t>
  </si>
  <si>
    <t>FY2026A: Employee Benefits Expense ₹1,017.54 Cr (Profit &amp; Loss tab) ÷ 5,860 employees (AR FY2026 pg.4) = ₹17.36 Lakh/employee. Grown by the Wage Inflation assumption (Assumptions tab, row 15).</t>
  </si>
  <si>
    <t>Employee Cost (₹ Cr)</t>
  </si>
  <si>
    <t>2. BRANCH COST (driven by Branch Count)</t>
  </si>
  <si>
    <t>Branch Count (linked from Business Drivers)</t>
  </si>
  <si>
    <t>Cost per Branch (₹ Lakh p.a., illustrative)</t>
  </si>
  <si>
    <t>D13:H13 hold the % growth in cost-per-branch (not the level); see row 14 for the compounded ₹ Lakh figure. Illustrative rent/utility/local-staff inflation ~5-6% p.a.</t>
  </si>
  <si>
    <t>Cost per Branch, compounded (₹ Lakh p.a.)</t>
  </si>
  <si>
    <t>Branch Cost (₹ Cr)</t>
  </si>
  <si>
    <t>3. TECHNOLOGY (driven by digital investment growth)</t>
  </si>
  <si>
    <t>Technology Spend Growth % p.a.</t>
  </si>
  <si>
    <t>Reflects continued AI/ML and automation investment ("76 AI solutions, 42 delivered, 34 underway", AR FY2026 pg.2), tapering as the core platform build-out matures.</t>
  </si>
  <si>
    <t>Technology Cost (₹ Cr)</t>
  </si>
  <si>
    <t>4. MARKETING (driven by disbursement / customer-acquisition growth)</t>
  </si>
  <si>
    <t>Total Disbursement Growth % (linked from Business Drivers)</t>
  </si>
  <si>
    <t>Marketing Cost (₹ Cr)</t>
  </si>
  <si>
    <t>Scales with the pace of new disbursements (customer-acquisition cost driver). FY2027E growth of 32% approximates disbursement growth given FY2026A total disbursement is not separately disclosed (Business Drivers tab derives it bottom-up from FY2027E onward).</t>
  </si>
  <si>
    <t>5. COLLECTIONS (driven by AUM growth — effort scales with book size)</t>
  </si>
  <si>
    <t>AUM Growth % (linked from Business Drivers)</t>
  </si>
  <si>
    <t>Collections Cost (₹ Cr)</t>
  </si>
  <si>
    <t>Grows at 60% of the AUM growth rate — collections infrastructure scales with book size but with productivity gains from AI-led collections ("GenAI-enabled co-pilots, intelligent voice bots", AR FY2026 pg.26), so cost intensity per unit of AUM declines over time.</t>
  </si>
  <si>
    <t>6. OTHER OPERATING EXPENSES (inflation-linked)</t>
  </si>
  <si>
    <t>Inflation % (linked from Assumptions)</t>
  </si>
  <si>
    <t>Other Operating Expenses (₹ Cr)</t>
  </si>
  <si>
    <t>Profit After Tax – PAT (₹ Cr)</t>
  </si>
  <si>
    <t>Effective Tax Rate %</t>
  </si>
  <si>
    <t>POONAWALLA FINCORP LIMITED — Scenario Analysis (Live Selector)</t>
  </si>
  <si>
    <t>Choose a scenario in the yellow cell below — the Business Drivers, Revenue, Funding and Credit Cost Forecast sheets (and everything downstream: P&amp;L, Balance Sheet, Cash Flow, KPI Dashboard) update automatically. This is a genuine model toggle, not a static what-if table.</t>
  </si>
  <si>
    <t>SCENARIO SELECTOR</t>
  </si>
  <si>
    <t>Active Scenario ▶</t>
  </si>
  <si>
    <t>Base</t>
  </si>
  <si>
    <t>(helper) Scenario Index</t>
  </si>
  <si>
    <t>ADJUSTMENT FACTORS BY SCENARIO (drive the Business Drivers / Revenue / Funding / Credit Cost Forecast sheets)</t>
  </si>
  <si>
    <t>Upside</t>
  </si>
  <si>
    <t>Downside</t>
  </si>
  <si>
    <t>New Customer Acquisition Multiplier (x)</t>
  </si>
  <si>
    <t>Yield Adjustment (ppt, added to Base yield each year)</t>
  </si>
  <si>
    <t>Cost of Funds Adjustment (ppt, added to Base CoF each year)</t>
  </si>
  <si>
    <t>Credit Cost Adjustment (ppt, added to Base credit cost each year)</t>
  </si>
  <si>
    <t>Active values (CHOOSE-linked to the selector above; these feed the model)</t>
  </si>
  <si>
    <t>Active New Customer Multiplier</t>
  </si>
  <si>
    <t>Active Yield Adjustment (ppt)</t>
  </si>
  <si>
    <t>Active Cost of Funds Adjustment (ppt)</t>
  </si>
  <si>
    <t>Active Credit Cost Adjustment (ppt)</t>
  </si>
  <si>
    <t>New Customers Added (Lakh) — Base Case (scenario multiplier applied below)</t>
  </si>
  <si>
    <t>Cumulative Customers (Lakh) — scenario-adjusted</t>
  </si>
  <si>
    <t>Disbursement to New Customers (₹ Cr) — scenario-adjusted</t>
  </si>
  <si>
    <t>Gross Yield on AUM % (Base + Scenario Adjustment)</t>
  </si>
  <si>
    <t>Cost of Funds % (Base + Scenario Adjustment)</t>
  </si>
  <si>
    <t>Credit Cost, % of Avg. AUM (Base + Scenario Adjustment)</t>
  </si>
  <si>
    <t>FY2031E RESULTS BY SCENARIO (captured by toggling the selector above; re-toggle C5 to recompute live)</t>
  </si>
  <si>
    <t>Return on Equity – ROE %</t>
  </si>
  <si>
    <t>POONAWALLA FINCORP LIMITED — Management Recommendations</t>
  </si>
  <si>
    <t>1. WHICH PRODUCT SHOULD RECEIVE MORE CAPITAL?</t>
  </si>
  <si>
    <t>Second highest:</t>
  </si>
  <si>
    <t>Lowest (candidate to de-prioritise):</t>
  </si>
  <si>
    <t>2. WHICH BRANCH FORMAT SHOULD EXPAND?</t>
  </si>
  <si>
    <t>3. WHERE CAN COSTS BE REDUCED?</t>
  </si>
  <si>
    <t>4. WHAT ARE THE BIGGEST RISKS?</t>
  </si>
  <si>
    <t>Risk 2 — Credit Cost normalisation: ROE swing, Downside vs Base (Scenario Analysis, row 30):</t>
  </si>
  <si>
    <t>5. WHICH INITIATIVES IMPROVE ROE THE MOST?</t>
  </si>
  <si>
    <t>Scenario spread on FY2031E ROE (Scenario Analysis, row 30):</t>
  </si>
  <si>
    <t>Ranked by leverage on ROE, based on the Scenario Analysis adjustment factors (rows 10-13) and the Product Profitability tab:</t>
  </si>
  <si>
    <t xml:space="preserve">  1. Credit cost discipline — the single largest driver of the Upside/Downside ROE spread (Credit Cost Forecast tab); underwriting and collections initiatives (AI-led, AR FY2026 pg.24-26) that keep credit cost on the improving glide path are the highest-leverage lever.</t>
  </si>
  <si>
    <t xml:space="preserve">  3. Cross-sell penetration — raising the rate (Business Drivers row 8) grows AUM with a lower incremental cost base than pure new-customer acquisition, improving both Cost-to-Income and capital efficiency (less capital raise needed per unit of AUM growth).</t>
  </si>
  <si>
    <t>(Memo, Forecast only) Debt-to-Equity Ratio (x)</t>
  </si>
  <si>
    <t>Risk 1 — Capital / Dilution: cumulative capital raise required, FY2027E–FY2031E (Balance Sheet tab, memo row 60):</t>
  </si>
  <si>
    <t>Risk 3 — Funding concentration: Debt-to-Equity Ratio, FY2031E (Balance Sheet tab, memo row 61):</t>
  </si>
  <si>
    <t>POONAWALLA FINCORP LIMITED — CapEx &amp; Depreciation Schedule</t>
  </si>
  <si>
    <t>Depreciation &amp; Amortisation was previously embedded (unforecast) inside the Operating Cost Forecast's aggregate categories. This schedule properly rolls forward the Net Fixed &amp; Intangible Asset block and feeds D&amp;A into the Profit &amp; Loss (row 22), the Cash Flow Statement (non-cash add-back row 9 and CapEx row 42), and the Balance Sheet's PP&amp;E line (row 22).</t>
  </si>
  <si>
    <t>Opening Net Block — PP&amp;E + ROU Assets + Intangibles (₹ Cr)</t>
  </si>
  <si>
    <t>CapEx — Additions to PP&amp;E / Intangibles (₹ Cr, illustrative)</t>
  </si>
  <si>
    <t>Illustrative, scaled to branch network (Business Drivers tab) and technology investment growth (Operating Cost Forecast tab); the Company does not separately disclose a capex forecast. Consistent with the Cash Flow Statement's investing outflow (row 42).</t>
  </si>
  <si>
    <t>Depreciation Rate, % of Opening Net Block</t>
  </si>
  <si>
    <t>FY2026A actual: D&amp;A of ₹94.14 Cr (Profit &amp; Loss tab) ÷ Opening Net Block of ₹427.53 Cr (PP&amp;E ₹55.01 + ROU Assets ₹172.31 + Other Intangibles ₹16.41 + Intangible under development ₹10.43, all FY2025A closing, Balance Sheet tab) = 22.03%. Held broadly flat, consistent with a blended PP&amp;E/ROU/intangible life of ~4.5-5 years.</t>
  </si>
  <si>
    <t>Depreciation, Amortisation &amp; Impairment (₹ Cr)</t>
  </si>
  <si>
    <t>Closing Net Block (₹ Cr)</t>
  </si>
  <si>
    <t>TOTAL OPERATING EXPENSES excl. D&amp;A (₹ Cr) — D&amp;A is forecast separately on the CapEx &amp; Depreciation Schedule tab</t>
  </si>
  <si>
    <t>(Check) FY2026A Total Opex excl. D&amp;A, i.e. Employee + Other Expenses only (₹ Cr)</t>
  </si>
  <si>
    <t>Face Value per Equity Share (₹)</t>
  </si>
  <si>
    <t>Source: Poonawalla Fincorp Annual Reports FY2023-FY2026, EPS note ("Face value of ₹2/- each"). Unchanged historically; held flat.</t>
  </si>
  <si>
    <t>Check: Closing Cash per Cash Flow roll-forward minus Balance Sheet Cash &amp; Cash Equivalents (should be 0)</t>
  </si>
  <si>
    <t>Loans / AUM Growth % (Reported, Standalone — linked from Executive Dashboard)</t>
  </si>
  <si>
    <t>AUM (₹ Cr, Reported/Standalone — linked from Executive Dashboard)</t>
  </si>
  <si>
    <t>Total AUM FY2026, Reported/Standalone (₹ Cr)</t>
  </si>
  <si>
    <t>Chart source data (linked)</t>
  </si>
  <si>
    <t>Assets under Management</t>
  </si>
  <si>
    <t>(₹ Crore)</t>
  </si>
  <si>
    <t>Net Interest Income (NII)</t>
  </si>
  <si>
    <t>Gross NPA</t>
  </si>
  <si>
    <t>(%)</t>
  </si>
  <si>
    <t>Net NPA</t>
  </si>
  <si>
    <t>Profit After Tax*</t>
  </si>
  <si>
    <t>Cost of Borrowing</t>
  </si>
  <si>
    <t>Return on Assets (ROA)*</t>
  </si>
  <si>
    <t>Shareholders' Funds</t>
  </si>
  <si>
    <t>Capital Adequacy Ratio (CRAR)</t>
  </si>
  <si>
    <t>POONAWALLA FINCORP LIMITED — Product Profitability</t>
  </si>
  <si>
    <t>Source: Annual Report FY2025-26, Segment-wise Business Performance, pg.116-119 (product AUM as of Mar-2026, and disbursement yield ranges where disclosed). "Other/Legacy Portfolio" is a reconciling balance (Total AUM per KPI disclosure less the sum of named products above), not a separately disclosed line.</t>
  </si>
  <si>
    <t>AUM Mix %</t>
  </si>
  <si>
    <t>AUM (₹ Cr, Disclosed Mar-2026)</t>
  </si>
  <si>
    <t>Yield % (Disclosed range midpoint where cited; else Illustrative)</t>
  </si>
  <si>
    <t>Instant Consumer Loan</t>
  </si>
  <si>
    <t>Pre-Owned Car Finance (POC)</t>
  </si>
  <si>
    <t>Business Loan</t>
  </si>
  <si>
    <t>Prime Personal Loan</t>
  </si>
  <si>
    <t>Commercial Vehicle Loan</t>
  </si>
  <si>
    <t>Machinery &amp; Medical Equipment Loan</t>
  </si>
  <si>
    <t>Professional Loan</t>
  </si>
  <si>
    <t>Shopkeeper Loan</t>
  </si>
  <si>
    <t>Other / Legacy Portfolio (reconciling)</t>
  </si>
  <si>
    <t>LATEST QUARTER UPDATE — Q1 FY2027 (Quarter Ended 30-Jun-2026)</t>
  </si>
  <si>
    <t>NIM % (vs. 9.05% prior quarter)</t>
  </si>
  <si>
    <t>Credit Cost % (vs. 2.51% prior quarter)</t>
  </si>
  <si>
    <t>Gross NPA % (vs. 1.44% at Mar-2026)</t>
  </si>
  <si>
    <t>Net NPA % (vs. 0.74% at Mar-2026)</t>
  </si>
  <si>
    <t>Opex / Avg. AUM % (vs. 4.13% prior quarter)</t>
  </si>
  <si>
    <t>Return on Assets — ROA %</t>
  </si>
  <si>
    <t>Pre-Provisioning Operating Profit (₹ Cr)</t>
  </si>
  <si>
    <t>Debt-to-Equity (x, post ₹2,500 Cr QIP completed Apr-2026)</t>
  </si>
  <si>
    <t>Capital Adequacy Ratio — CRAR % (Tier 1: 18.37%)</t>
  </si>
  <si>
    <t>Cost of Borrowing % (vs. 7.63% prior quarter)</t>
  </si>
  <si>
    <t>Secured : Unsecured Mix % (medium-term target 50:50)</t>
  </si>
  <si>
    <t>MANAGEMENT GUIDANCE (Q1 FY27 Earnings Call, MD &amp; CEO, 17-Jul-2026)</t>
  </si>
  <si>
    <t>ROA Exit Target by June 2028 (low end)</t>
  </si>
  <si>
    <t>ROA Exit Target by June 2028 (high end)</t>
  </si>
  <si>
    <t>Secured : Unsecured Target Mix (medium-term)</t>
  </si>
  <si>
    <t>Branch Expansion Plan, FY2027E</t>
  </si>
  <si>
    <t>~400 additional gold-loan branches</t>
  </si>
  <si>
    <t>Cross-check vs. this model</t>
  </si>
  <si>
    <t>Management ROA Guidance — Low End (Jun-2028 exit)</t>
  </si>
  <si>
    <t>Management ROA Guidance — High End (Jun-2028 exit)</t>
  </si>
  <si>
    <t>This Model — Upside Case ROA (captured by toggling Scenario Analysis!C5, FY2029E)</t>
  </si>
  <si>
    <t>MANAGEMENT GUIDANCE ANCHOR</t>
  </si>
  <si>
    <t>53% secured : 47% unsecured</t>
  </si>
  <si>
    <t>50% secured : 50% unsecured</t>
  </si>
  <si>
    <t>n/a</t>
  </si>
  <si>
    <t>OTHER OPERATIONAL METRICS (migrated from KPI Dashboard (Forecast), now consolidated here)</t>
  </si>
  <si>
    <t>MANAGEMENT GUIDANCE CROSS-CHECK (migrated from KPI Dashboard (Forecast), now consolidated here)</t>
  </si>
  <si>
    <t>This Model — Base Case ROA (row 34, for reference)</t>
  </si>
  <si>
    <t>All ratios below are LIVE FORMULAS linked to the Balance Sheet, Profit &amp; Loss, and Treasury sheets (FY2021-FY2026A) and to the integrated forecast sheets — Business Drivers, Funding/Credit Cost Forecast — for FY2027E-FY2031E. Ratios requiring an opening balance (Average-based) start from FY2022. Rows that depend on tabs without a forecast extension (Customer Analytics, Branch/Product Profitability, Treasury, Executive Dashboard's disclosed-only metrics) are left blank for FY2027E-FY2031E with a note, rather than estimated.</t>
  </si>
  <si>
    <t>Management (Q1 FY27 call, 17-Jul-2026) guided an ROA exit of 3.0%-3.5% by June 2028. This model's Upside scenario — built independently before this guidance was reviewed — reaches ~3.4%-3.5% average ROA by FY2028E-FY2029E (KPIs &amp; Ratios!K34/K91), closely tracking management's own target. The Base Case is deliberately more conservative (~2.8% by FY2029E) and is not calibrated to guidance. See KPIs &amp; Ratios!B87:M91 and Executive Dashboard!B50:C55 for the full detail.</t>
  </si>
  <si>
    <t>FY24</t>
  </si>
  <si>
    <t>FY25</t>
  </si>
  <si>
    <t>FY26</t>
  </si>
  <si>
    <t>VISUAL KPI SUMMARY</t>
  </si>
  <si>
    <t>Poonawalla Fincorp Limited  |  Actuals FY2024–FY2026  &amp;  Forecast FY2027E–FY2031E</t>
  </si>
  <si>
    <t>(₹ Crore, Consolidated basis for forecast)</t>
  </si>
  <si>
    <t>NII rose to ₹4,029 Cr in FY26 from ₹2,708 Cr in FY25. The forecast (green bars) is driven by the Revenue Forecast tab's average-AUM × yield methodology.</t>
  </si>
  <si>
    <t>Gross NPA improved to 1.44% in FY26. The forecast glide path (Credit Cost Forecast tab) assumes continued underwriting discipline, easing further through FY31E.</t>
  </si>
  <si>
    <t>Net NPA eased to 0.74% in FY26, moving in line with Gross NPA. Forecast years assume the PCR ratio holds broadly steady.</t>
  </si>
  <si>
    <t>PPOP rose to ₹1,934 Cr in FY26. Forecast PPOP growth reflects NII scaling faster than the modelled opex build-out (Operating Cost Forecast tab).</t>
  </si>
  <si>
    <t>Cost of borrowing declined to 7.73% in FY26. The forecast (Funding Forecast tab) assumes gradual further easing as the funding mix diversifies.</t>
  </si>
  <si>
    <t>Shareholders' funds reached ₹10,298 Cr in FY26. Forecast growth (Balance Sheet tab) assumes retained earnings plus periodic capital raises to sustain the CRAR.</t>
  </si>
  <si>
    <t>FY27E</t>
  </si>
  <si>
    <t>FY28E</t>
  </si>
  <si>
    <t>FY29E</t>
  </si>
  <si>
    <t>FY30E</t>
  </si>
  <si>
    <t>FY31E</t>
  </si>
  <si>
    <t>(%, forecast is an approximation)</t>
  </si>
  <si>
    <t>CRAR moderated to 16.83% in FY26. True regulatory CRAR forecasting needs a risk-weighted-assets model beyond this workbook's scope, so FY27E-31E (green) uses the Equity/Assets % trend as a directional proxy, anchored to the FY26A level — not a substitute for a real capital calculation.</t>
  </si>
  <si>
    <t>Pre-Provision Operating Profit</t>
  </si>
  <si>
    <t>ADDITIONAL CONSOLIDATED METRICS (for Executive Dashboard linkage)</t>
  </si>
  <si>
    <t>Total Income (₹ Cr, Consolidated)</t>
  </si>
  <si>
    <t>Shareholders' Funds / Total Equity (₹ Cr, Consolidated)</t>
  </si>
  <si>
    <t>Basis: Mixed — company-disclosed figures use each year's reported basis (Standalone unless marked Consol.); rows explicitly linked from the KPIs &amp; Ratios tab (green font) use that tab's Consolidated-basis formulas. Blank = not disclosed/not computable for that year.</t>
  </si>
  <si>
    <t>POONAWALLA FINCORP LIMITED — Enterprise Risk &amp; Opportunity Cockpit</t>
  </si>
  <si>
    <t>One-page executive risk view for CFO/Board review. RAG status and financial-impact framing are FORMULA-DRIVEN off this workbook's live KPIs (KPIs &amp; Ratios, Treasury, Branch/Customer Analytics), not typed-in colors — thresholds are documented in each row's note.</t>
  </si>
  <si>
    <t>EXECUTIVE RISK REGISTER</t>
  </si>
  <si>
    <t>Risk Area</t>
  </si>
  <si>
    <t>Key KPI</t>
  </si>
  <si>
    <t>Current Value</t>
  </si>
  <si>
    <t>Status</t>
  </si>
  <si>
    <t>Financial Impact</t>
  </si>
  <si>
    <t>FP&amp;A Recommendation</t>
  </si>
  <si>
    <t>Credit Risk</t>
  </si>
  <si>
    <t>GNPA % (Q1 FY27 actual)</t>
  </si>
  <si>
    <t>Lower PAT &amp; ROE via higher provisioning</t>
  </si>
  <si>
    <t>Improve underwriting and collections (Credit Cost Forecast tab: glide path to 1.5% by FY31E)</t>
  </si>
  <si>
    <t>Liquidity Risk</t>
  </si>
  <si>
    <t>LCR % (FY26A)</t>
  </si>
  <si>
    <t>Business continuity under stress</t>
  </si>
  <si>
    <t>Maintain funding diversification (Treasury tab: NCD/bank mix)</t>
  </si>
  <si>
    <t>Interest Rate Risk</t>
  </si>
  <si>
    <t>NIM % (Q1 FY27 actual)</t>
  </si>
  <si>
    <t>Margin pressure if Cost of Funds outpaces Yield</t>
  </si>
  <si>
    <t>Reprice assets and optimise borrowing mix (Funding Forecast tab)</t>
  </si>
  <si>
    <t>Operational Risk</t>
  </si>
  <si>
    <t>Cost-to-Income % (FY26A)</t>
  </si>
  <si>
    <t>Higher operating cost dilutes PPOP</t>
  </si>
  <si>
    <t>Process automation and digital-led underwriting (AR FY26 pg.24-26 initiatives)</t>
  </si>
  <si>
    <t>Business Growth Risk</t>
  </si>
  <si>
    <t>AUM Growth % (FY26A YoY)</t>
  </si>
  <si>
    <t>Lower revenue growth if AUM deceleration</t>
  </si>
  <si>
    <t>Focus incremental capital on highest-ROE products (Product Profitability tab)</t>
  </si>
  <si>
    <t>Branch Productivity Risk</t>
  </si>
  <si>
    <t>Profit per Branch Growth % (illustrative)</t>
  </si>
  <si>
    <t>Lower operating leverage as new branches mature</t>
  </si>
  <si>
    <t>Optimise branch network mix (gold-loan branch ramp-up curve)</t>
  </si>
  <si>
    <t>Customer Risk</t>
  </si>
  <si>
    <t>Cross-sell / Repeat Rate % (illustrative)</t>
  </si>
  <si>
    <t>Lower profitability if acquisition cost stays elevated vs. cross-sell</t>
  </si>
  <si>
    <t>Increase cross-sell and retention via analytics-led targeting (Value Creation Tracker, Initiative 5)</t>
  </si>
  <si>
    <t>Regulatory Risk</t>
  </si>
  <si>
    <t>Capital Adequacy — CRAR % (Q1 FY27 actual)</t>
  </si>
  <si>
    <t>Compliance impact / capital raise dilution if breached</t>
  </si>
  <si>
    <t>Maintain capital buffer; ₹2,500 Cr QIP (Apr-2026) already strengthened headroom</t>
  </si>
  <si>
    <t>Technology Risk</t>
  </si>
  <si>
    <t>Digital (DDP) Disbursement Share % (last disclosed: FY24)</t>
  </si>
  <si>
    <t>Customer experience / cost efficiency impact if digital adoption stalls</t>
  </si>
  <si>
    <t>Continue investment in digital platforms and AI-led underwriting/collections</t>
  </si>
  <si>
    <t>Strategic Risk</t>
  </si>
  <si>
    <t>Return on Equity — ROE % (Consolidated, FY26A)</t>
  </si>
  <si>
    <t>Lower valuation if ROE stays below cost of equity</t>
  </si>
  <si>
    <t>Improve capital allocation toward highest-ROE products and businesses</t>
  </si>
  <si>
    <t>YELLOW</t>
  </si>
  <si>
    <t>EXECUTIVE HEAT MAP</t>
  </si>
  <si>
    <t>Illustrative risk assessment (analyst judgement, 1-5 scale) — probability/impact scoring is inherently qualitative and not derivable from financial data alone, consistent with standard enterprise risk management practice.</t>
  </si>
  <si>
    <t>Probability (1-5)</t>
  </si>
  <si>
    <t>Impact (1-5)</t>
  </si>
  <si>
    <t>EARLY WARNING INDICATORS</t>
  </si>
  <si>
    <t>Indicator</t>
  </si>
  <si>
    <t>Latest Value</t>
  </si>
  <si>
    <t>Why Monitor?</t>
  </si>
  <si>
    <t>GNPA Trend</t>
  </si>
  <si>
    <t>Leading indicator of asset quality deterioration</t>
  </si>
  <si>
    <t>Collection Efficiency</t>
  </si>
  <si>
    <t>Not disclosed</t>
  </si>
  <si>
    <t>Predicts future NPA formation before it shows up in GNPA</t>
  </si>
  <si>
    <t>Margin pressure if funding costs rise faster than yields</t>
  </si>
  <si>
    <t>AUM Growth</t>
  </si>
  <si>
    <t>Revenue outlook — disbursement momentum feeds AUM feeds NII</t>
  </si>
  <si>
    <t>Branch Productivity</t>
  </si>
  <si>
    <t>Operating leverage — AUM per branch trend as new branches mature</t>
  </si>
  <si>
    <t>Cross-sell Ratio</t>
  </si>
  <si>
    <t>Customer profitability — lower acquisition cost per incremental AUM</t>
  </si>
  <si>
    <t>Employee Productivity</t>
  </si>
  <si>
    <t>Cost efficiency — revenue per employee trend</t>
  </si>
  <si>
    <t>Capital Adequacy</t>
  </si>
  <si>
    <t>Regulatory strength — headroom for continued AUM growth</t>
  </si>
  <si>
    <t>FINANCIAL IMPACT WATERFALL (Downside Scenario Transmission)</t>
  </si>
  <si>
    <t>Economic Slowdown</t>
  </si>
  <si>
    <t>Lower Disbursement</t>
  </si>
  <si>
    <t>Lower AUM</t>
  </si>
  <si>
    <t>Lower Interest Income</t>
  </si>
  <si>
    <t>Lower NII</t>
  </si>
  <si>
    <t>Lower PAT</t>
  </si>
  <si>
    <t>Lower ROE</t>
  </si>
  <si>
    <t>Lower Shareholder Value</t>
  </si>
  <si>
    <t>Cross-check: this transmission chain is exactly the causal path already modelled in this workbook. A slowdown flows through Business Drivers (disbursement) → Business Drivers (AUM) → Revenue Forecast (interest income) → P&amp;L (NII, PAT) → KPI Dashboard metrics (ROE). Use the Downside scenario on the Scenario Analysis tab to quantify this chain with live numbers rather than illustrative direction only.</t>
  </si>
  <si>
    <t>FP&amp;A ACTION PLAN (linked to Value Creation Tracker, ranked by financial impact)</t>
  </si>
  <si>
    <t>Priority</t>
  </si>
  <si>
    <t>KPI Improved</t>
  </si>
  <si>
    <t>Expected Impact (₹ Cr p.a.)</t>
  </si>
  <si>
    <t>Effect</t>
  </si>
  <si>
    <t>↑ NIM (lower cost of funds)</t>
  </si>
  <si>
    <t>↑ ROE (lower cost-to-income)</t>
  </si>
  <si>
    <t>↑ PAT (lower credit cost)</t>
  </si>
  <si>
    <t>↑ Revenue (lower acquisition cost)</t>
  </si>
  <si>
    <t>↑ Revenue (cross-sell)</t>
  </si>
  <si>
    <t>TOTAL</t>
  </si>
  <si>
    <t>Trend</t>
  </si>
  <si>
    <t>POONAWALLA FINCORP — EXECUTIVE STRATEGIC FINANCE COCKPIT</t>
  </si>
  <si>
    <t>1. BUSINESS HEALTH (5-SECOND VIEW)</t>
  </si>
  <si>
    <t>Dimension</t>
  </si>
  <si>
    <t>Actual (Q1 FY27 / FY26A)</t>
  </si>
  <si>
    <t>ROE % (Consolidated)</t>
  </si>
  <si>
    <t>Cost-to-Income %</t>
  </si>
  <si>
    <t>Liquidity</t>
  </si>
  <si>
    <t>→</t>
  </si>
  <si>
    <t>Value</t>
  </si>
  <si>
    <t>Basic EPS (₹)</t>
  </si>
  <si>
    <t>AUM (₹ Cr, FY26A vs FY27E target)</t>
  </si>
  <si>
    <t>2. EXECUTIVE NARRATIVE</t>
  </si>
  <si>
    <t>3. BUSINESS DRIVER ENGINE</t>
  </si>
  <si>
    <t>Customer Growth</t>
  </si>
  <si>
    <t>Disbursement → AUM</t>
  </si>
  <si>
    <t>Interest Income → NII</t>
  </si>
  <si>
    <t>PAT</t>
  </si>
  <si>
    <t>ROE → Shareholder Value</t>
  </si>
  <si>
    <t>Driver Performance</t>
  </si>
  <si>
    <t>Driver</t>
  </si>
  <si>
    <t>Current</t>
  </si>
  <si>
    <t>Impact</t>
  </si>
  <si>
    <t>Customers (Lakh)</t>
  </si>
  <si>
    <t>High</t>
  </si>
  <si>
    <t>AUM Growth %</t>
  </si>
  <si>
    <t>Yield on Advances %</t>
  </si>
  <si>
    <t>Medium</t>
  </si>
  <si>
    <t>Credit Cost %</t>
  </si>
  <si>
    <t>4. CEO HEAT MAP — BUSINESS PRIORITY VIEW</t>
  </si>
  <si>
    <t>Business Area</t>
  </si>
  <si>
    <t>Key Metric</t>
  </si>
  <si>
    <t>Asset Quality</t>
  </si>
  <si>
    <t>Cost Efficiency</t>
  </si>
  <si>
    <t>Digital Business</t>
  </si>
  <si>
    <t>GREEN</t>
  </si>
  <si>
    <t>Metric</t>
  </si>
  <si>
    <t>FY26A</t>
  </si>
  <si>
    <t>Direction</t>
  </si>
  <si>
    <t>Key Driver</t>
  </si>
  <si>
    <t>Higher AUM</t>
  </si>
  <si>
    <t>PAT (₹ Cr)</t>
  </si>
  <si>
    <t>Lower Credit Cost</t>
  </si>
  <si>
    <t>Better Productivity</t>
  </si>
  <si>
    <t>Portfolio Growth</t>
  </si>
  <si>
    <t>6. VALUE CREATION ENGINE (linked to Value Creation Tracker)</t>
  </si>
  <si>
    <t>KPI Impact</t>
  </si>
  <si>
    <t>Business Impact</t>
  </si>
  <si>
    <t>₹ Cr p.a.</t>
  </si>
  <si>
    <t>Cost of Funds ↓</t>
  </si>
  <si>
    <t>NIM ↑</t>
  </si>
  <si>
    <t>Cost-to-Income ↓</t>
  </si>
  <si>
    <t>ROE ↑</t>
  </si>
  <si>
    <t>GNPA ↓</t>
  </si>
  <si>
    <t>Shareholder Value ↑</t>
  </si>
  <si>
    <t>Revenue ↑</t>
  </si>
  <si>
    <t>ROA ↑</t>
  </si>
  <si>
    <t>AI Underwriting &amp; Collections Automation (AR FY26 pg.24-26 initiatives)</t>
  </si>
  <si>
    <t>Credit Cost ↓</t>
  </si>
  <si>
    <t>PAT ↑</t>
  </si>
  <si>
    <t>7. CAPITAL ALLOCATION MATRIX (linked to Product Profitability tab)</t>
  </si>
  <si>
    <t>Business</t>
  </si>
  <si>
    <t>Credit Cost % (Risk)</t>
  </si>
  <si>
    <t>Decision</t>
  </si>
  <si>
    <t>8. MANAGEMENT ACTION TRACKER (linked to Value Creation Tracker)</t>
  </si>
  <si>
    <t>Expected Impact</t>
  </si>
  <si>
    <t>Optimise Funding Mix</t>
  </si>
  <si>
    <t>Lower Cost of Funds</t>
  </si>
  <si>
    <t>Expand Gold Loan / Branch Network</t>
  </si>
  <si>
    <t>AI Credit Model / Collections Analytics</t>
  </si>
  <si>
    <t>Branch Optimisation</t>
  </si>
  <si>
    <t>Better Cost-to-Income</t>
  </si>
  <si>
    <t>9. SHAREHOLDER VALUE DASHBOARD</t>
  </si>
  <si>
    <t>ROE</t>
  </si>
  <si>
    <t>EPS</t>
  </si>
  <si>
    <t>Book Value</t>
  </si>
  <si>
    <t>Shareholder Value</t>
  </si>
  <si>
    <t>&gt;150% target</t>
  </si>
  <si>
    <t>CEO SUMMARY</t>
  </si>
  <si>
    <t>BUSINESS HEALTH</t>
  </si>
  <si>
    <t>Actual</t>
  </si>
  <si>
    <t>Target (FY27E)</t>
  </si>
  <si>
    <t>YoY %</t>
  </si>
  <si>
    <t>ROA %</t>
  </si>
  <si>
    <t>LCR %</t>
  </si>
  <si>
    <t>Shareholder</t>
  </si>
  <si>
    <t>EXECUTIVE NARRATIVE</t>
  </si>
  <si>
    <t>VALUE DRIVER ENGINE</t>
  </si>
  <si>
    <t>Customers → Disbursement → AUM → Yield → NII → PAT → ROE → Shareholder Value</t>
  </si>
  <si>
    <t>Yield</t>
  </si>
  <si>
    <t>Credit Cost</t>
  </si>
  <si>
    <t>Operating Cost</t>
  </si>
  <si>
    <t>Cost of Funds</t>
  </si>
  <si>
    <t>CEO DECISION BOX</t>
  </si>
  <si>
    <t>Business Issue</t>
  </si>
  <si>
    <t>Recommendation</t>
  </si>
  <si>
    <t>Expected Outcome</t>
  </si>
  <si>
    <t>Funding costs elevated</t>
  </si>
  <si>
    <t>Strong Gold Loan demand</t>
  </si>
  <si>
    <t>Expand secured portfolio (Gold Loan, LAP)</t>
  </si>
  <si>
    <t>Branch productivity gap</t>
  </si>
  <si>
    <t>Stable asset quality</t>
  </si>
  <si>
    <t>Accelerate growth selectively toward highest-ROE products</t>
  </si>
  <si>
    <t>Higher ROE</t>
  </si>
  <si>
    <t>Revenue (₹ Cr)</t>
  </si>
  <si>
    <t>ROE %</t>
  </si>
  <si>
    <t>Borrowings (₹ Cr)</t>
  </si>
  <si>
    <t>VALUE CREATION</t>
  </si>
  <si>
    <t>Lower funding cost</t>
  </si>
  <si>
    <t>Lower credit cost</t>
  </si>
  <si>
    <t>Higher productivity</t>
  </si>
  <si>
    <t>Revenue growth</t>
  </si>
  <si>
    <t>AUM ↑</t>
  </si>
  <si>
    <t>Higher profitability</t>
  </si>
  <si>
    <t>ACTION DASHBOARD</t>
  </si>
  <si>
    <t>Target KPI</t>
  </si>
  <si>
    <t>Funding optimisation</t>
  </si>
  <si>
    <t>Gold Loan expansion</t>
  </si>
  <si>
    <t>AUM</t>
  </si>
  <si>
    <t>Branch productivity</t>
  </si>
  <si>
    <t>Cost-to-Income</t>
  </si>
  <si>
    <t>AI underwriting</t>
  </si>
  <si>
    <t>AUM / Loan Book (₹ Cr, Reported FY21-26A / Consolidated Forecast)</t>
  </si>
  <si>
    <t>POONAWALLA FINCORP LIMITED — FP&amp;A MODEL INDEX</t>
  </si>
  <si>
    <t>Click any sheet name below to jump to that tab</t>
  </si>
  <si>
    <t>Sheet</t>
  </si>
  <si>
    <t>Strategy to value</t>
  </si>
  <si>
    <t>Business Drivers</t>
  </si>
  <si>
    <t>Growth engine</t>
  </si>
  <si>
    <t>KPIs &amp; Ratios</t>
  </si>
  <si>
    <t>Revenue Forecast</t>
  </si>
  <si>
    <t>Funding Forecast</t>
  </si>
  <si>
    <t>Credit Cost Forecast</t>
  </si>
  <si>
    <t>Operating Cost Forecast</t>
  </si>
  <si>
    <t>CapEx &amp; Depreciation Schedule</t>
  </si>
  <si>
    <t>Scenario Analysis</t>
  </si>
  <si>
    <t>Enterprise Risk Cockpit</t>
  </si>
  <si>
    <t>Product Profitability</t>
  </si>
  <si>
    <t>Branch Profitability</t>
  </si>
  <si>
    <t>Customer Analytics</t>
  </si>
  <si>
    <t>Management Recommendations</t>
  </si>
  <si>
    <t>Value Creation Tracker</t>
  </si>
  <si>
    <t>Profit &amp; Loss</t>
  </si>
  <si>
    <t>Balance Sheet</t>
  </si>
  <si>
    <t>Cash Flow Statement</t>
  </si>
  <si>
    <t>Statement of Changes in Equity</t>
  </si>
  <si>
    <t>Assumptions</t>
  </si>
  <si>
    <t>⌂ Home</t>
  </si>
  <si>
    <t>POONAWALLA FINCORP — BUSINESS OPERATING MODEL</t>
  </si>
  <si>
    <t>The end-to-end lending value chain. Every stage below maps to a tab in this workbook — operations drive the financial outcome, not the reverse.</t>
  </si>
  <si>
    <t>STAGE</t>
  </si>
  <si>
    <t>WHAT HAPPENS</t>
  </si>
  <si>
    <t>KEY METRIC</t>
  </si>
  <si>
    <t>CURRENT VALUE</t>
  </si>
  <si>
    <t>WHERE MODELLED</t>
  </si>
  <si>
    <t>1. Lead Generation</t>
  </si>
  <si>
    <t>Demand captured via branch, DSA, digital and partner channels</t>
  </si>
  <si>
    <t>Channel mix %</t>
  </si>
  <si>
    <t>See Distribution Analytics</t>
  </si>
  <si>
    <t>Distribution Analytics</t>
  </si>
  <si>
    <t>2. Customer Acquisition</t>
  </si>
  <si>
    <t>Onboarding, KYC, credit assessment initiation</t>
  </si>
  <si>
    <t>Cumulative customers (Lakh)</t>
  </si>
  <si>
    <t>Customer Economics</t>
  </si>
  <si>
    <t>3. Digital Journey</t>
  </si>
  <si>
    <t>Digital sourcing, straight-through processing, e-KYC</t>
  </si>
  <si>
    <t>DDP share of disbursement %</t>
  </si>
  <si>
    <t>Digital Transformation</t>
  </si>
  <si>
    <t>4. Credit Underwriting</t>
  </si>
  <si>
    <t>Risk scoring, policy checks, AI-led decisioning</t>
  </si>
  <si>
    <t>Approval discipline → GNPA %</t>
  </si>
  <si>
    <t>5. Disbursement</t>
  </si>
  <si>
    <t>Loan booked and funds released</t>
  </si>
  <si>
    <t>Total disbursement (₹ Cr)</t>
  </si>
  <si>
    <t>6. Portfolio Build</t>
  </si>
  <si>
    <t>AUM accumulates net of runoff; product mix shifts</t>
  </si>
  <si>
    <t>Portfolio Mix</t>
  </si>
  <si>
    <t>7. Collections</t>
  </si>
  <si>
    <t>EMI recovery, bucket management, early-warning action</t>
  </si>
  <si>
    <t>Credit cost % of avg AUM</t>
  </si>
  <si>
    <t>Collections Analytics</t>
  </si>
  <si>
    <t>8. Cross-sell &amp; Retention</t>
  </si>
  <si>
    <t>Repeat lending to existing base at lower acquisition cost</t>
  </si>
  <si>
    <t>Cross-sell rate %</t>
  </si>
  <si>
    <t>9. Funding</t>
  </si>
  <si>
    <t>Liability raising across banks, NCDs, CP; ALM management</t>
  </si>
  <si>
    <t>Cost of funds %</t>
  </si>
  <si>
    <t>Treasury / Funding Forecast</t>
  </si>
  <si>
    <t>10. Profitability</t>
  </si>
  <si>
    <t>NII after credit cost and opex converts to PAT</t>
  </si>
  <si>
    <t>11. Shareholder Value</t>
  </si>
  <si>
    <t>Returns compound into ROE, EPS and book value growth</t>
  </si>
  <si>
    <t>Board Cockpit</t>
  </si>
  <si>
    <t>MANAGEMENT FLYWHEEL — how the model self-reinforces</t>
  </si>
  <si>
    <t>Better Customer Selection</t>
  </si>
  <si>
    <t>Better Portfolio Quality</t>
  </si>
  <si>
    <t>Stronger Capital Base</t>
  </si>
  <si>
    <t>Higher Growth Capacity</t>
  </si>
  <si>
    <t>More Customers  ⟳ (loop repeats)</t>
  </si>
  <si>
    <t>POONAWALLA FINCORP — PORTFOLIO MIX &amp; PRODUCT STRATEGY</t>
  </si>
  <si>
    <t>Product AUM as of 31-Mar-2026 is Company-disclosed (AR FY2025-26, Segment-wise Business Performance, pg.116-119). Growth %, Yield and Risk columns use disclosed data where available; Capital Usage and Decision are model-derived. Linked to Product Profitability tab.</t>
  </si>
  <si>
    <t>AUM Mar-26 (₹ Cr)</t>
  </si>
  <si>
    <t>Mix %</t>
  </si>
  <si>
    <t>YoY Growth %</t>
  </si>
  <si>
    <t>Yield %</t>
  </si>
  <si>
    <t>PORTFOLIO COMPOSITION (Company-disclosed)</t>
  </si>
  <si>
    <t>Secured lending % of on-book AUM (Mar-2026)</t>
  </si>
  <si>
    <t>Unsecured lending % of on-book AUM (Mar-2026)</t>
  </si>
  <si>
    <t>Secured : Unsecured mix (Q1 FY27 actual)</t>
  </si>
  <si>
    <t>Management medium-term target mix</t>
  </si>
  <si>
    <t>New products launched FY26 — contribution to AUM</t>
  </si>
  <si>
    <t>POONAWALLA FINCORP — CUSTOMER ECONOMICS</t>
  </si>
  <si>
    <t>⚠ ILLUSTRATIVE MODEL — Only the FY26 customer base (22+ lakh, AR FY26 pg.35) is Company-disclosed. CAC, CLTV, retention, payback and cross-sell economics are NOT publicly disclosed by Poonawalla and are modelled assumptions (yellow cells) for framework demonstration only. Do not present these as company figures.</t>
  </si>
  <si>
    <t>Source / Basis</t>
  </si>
  <si>
    <t>Cumulative Customer Base (Lakh)</t>
  </si>
  <si>
    <t>FY26 disclosed (AR pg.35); prior years illustrative</t>
  </si>
  <si>
    <t>Derived from base movement</t>
  </si>
  <si>
    <t>Customer Acquisition Cost — CAC (₹)</t>
  </si>
  <si>
    <t>ILLUSTRATIVE — not disclosed</t>
  </si>
  <si>
    <t>Average AUM per Customer (₹)</t>
  </si>
  <si>
    <t>Derived: AUM ÷ customer base</t>
  </si>
  <si>
    <t>Cross-sell / Repeat Rate %</t>
  </si>
  <si>
    <t>DERIVED UNIT ECONOMICS (all illustrative)</t>
  </si>
  <si>
    <t>Illustrative Revenue per Customer (₹)</t>
  </si>
  <si>
    <t>Avg AUM/customer × portfolio yield</t>
  </si>
  <si>
    <t>Illustrative Contribution per Customer (₹, after funding + credit cost)</t>
  </si>
  <si>
    <t>Avg AUM × (yield − cost of funds − credit cost)</t>
  </si>
  <si>
    <t>Illustrative CAC Payback (years)</t>
  </si>
  <si>
    <t>CAC ÷ annual contribution per customer</t>
  </si>
  <si>
    <t>Illustrative Customer Lifetime Value — CLTV (₹)</t>
  </si>
  <si>
    <t>Annual contribution × assumed tenure</t>
  </si>
  <si>
    <t>Illustrative CLTV : CAC ratio (x)</t>
  </si>
  <si>
    <t>Target &gt;3x is typical retail-lending benchmark</t>
  </si>
  <si>
    <t>Assumed average customer tenure (years)</t>
  </si>
  <si>
    <t>POONAWALLA FINCORP — DISTRIBUTION ANALYTICS</t>
  </si>
  <si>
    <t>⚠ ILLUSTRATIVE MODEL — Poonawalla does not publicly disclose acquisition-channel mix, channel-level CAC or conversion rates. Only the FY26 branch network (500+, incl. 400 gold-loan branches, AR pg.2) and DDP digital-sourcing share for FY23/FY24 (81%/82%, AR FY24 pg.14) are disclosed. All channel splits below are modelled assumptions.</t>
  </si>
  <si>
    <t>Acquisition Channel</t>
  </si>
  <si>
    <t>Share of Sourcing %</t>
  </si>
  <si>
    <t>Illustrative CAC (₹)</t>
  </si>
  <si>
    <t>Illustrative Conversion %</t>
  </si>
  <si>
    <t>Strategic Role</t>
  </si>
  <si>
    <t>Branch (physical network)</t>
  </si>
  <si>
    <t>Secured products, gold loan, relationship depth</t>
  </si>
  <si>
    <t>DSA / Channel Partners</t>
  </si>
  <si>
    <t>Volume scale in LAP and business loans</t>
  </si>
  <si>
    <t>Digital / Direct (DDP)</t>
  </si>
  <si>
    <t>Lowest-cost acquisition; consumer/personal loans</t>
  </si>
  <si>
    <t>Marketplace / Aggregator</t>
  </si>
  <si>
    <t>Incremental reach, price-sensitive segments</t>
  </si>
  <si>
    <t>Embedded / Ecosystem Partner</t>
  </si>
  <si>
    <t>Consumer durable, POS-linked lending</t>
  </si>
  <si>
    <t>TOTAL / BLENDED</t>
  </si>
  <si>
    <t>DISCLOSED DISTRIBUTION FACTS (cited)</t>
  </si>
  <si>
    <t>Branch network (count, FY26)</t>
  </si>
  <si>
    <t>AR FY2026 pg.2 — "500+ branches incl. 400 gold loan branches"</t>
  </si>
  <si>
    <t>Digital (DDP) share of disbursement % (FY24, last disclosed)</t>
  </si>
  <si>
    <t>AR FY2024 pg.14</t>
  </si>
  <si>
    <t>Gold-loan dedicated branches opened in FY26</t>
  </si>
  <si>
    <t>AR FY2026 pg.2 — "&gt;90% in Tier II/III locations"</t>
  </si>
  <si>
    <t>Planned branch additions FY27E</t>
  </si>
  <si>
    <t>Assumptions tab (calibrated to management's ~400 gold-loan branch guidance)</t>
  </si>
  <si>
    <t>POONAWALLA FINCORP — COLLECTIONS ANALYTICS</t>
  </si>
  <si>
    <t>⚠ ILLUSTRATIVE MODEL — Poonawalla does NOT numerically disclose collection efficiency, bucket-wise roll rates, recovery rates or write-off detail; the annual reports give only qualitative commentary (e.g. "improvements in monthly bounce and flow metrics, significant reduction in slippages", AR FY26 pg.20). Only GNPA, NNPA, PCR and credit cost are disclosed (linked below, green). The bucket/roll-rate framework is a modelled illustration.</t>
  </si>
  <si>
    <t>DISCLOSED ASSET-QUALITY METRICS (linked, cited)</t>
  </si>
  <si>
    <t>Q1 FY2027</t>
  </si>
  <si>
    <t>Provision Coverage Ratio %</t>
  </si>
  <si>
    <t>Credit Cost % of Avg. AUM</t>
  </si>
  <si>
    <t>ILLUSTRATIVE COLLECTIONS FUNNEL (modelled — not disclosed)</t>
  </si>
  <si>
    <t>Stage</t>
  </si>
  <si>
    <t>Illustrative Rate</t>
  </si>
  <si>
    <t>What it measures</t>
  </si>
  <si>
    <t>Current bucket collection efficiency %</t>
  </si>
  <si>
    <t>Share of due EMIs collected within the month</t>
  </si>
  <si>
    <t>Roll rate: Current → 1-30 DPD %</t>
  </si>
  <si>
    <t>Fresh delinquency formation (bounce/flow)</t>
  </si>
  <si>
    <t>Roll rate: 1-30 → 31-60 DPD %</t>
  </si>
  <si>
    <t>Early-bucket containment effectiveness</t>
  </si>
  <si>
    <t>Roll rate: 31-60 → 61-90 DPD %</t>
  </si>
  <si>
    <t>Mid-bucket cure vs. slippage</t>
  </si>
  <si>
    <t>Roll rate: 61-90 → NPA (90+ DPD) %</t>
  </si>
  <si>
    <t>Slippage into GNPA</t>
  </si>
  <si>
    <t>Recovery rate on NPA pool %</t>
  </si>
  <si>
    <t>Cash recovered from the 90+ pool</t>
  </si>
  <si>
    <t>Write-off rate % of NPA pool</t>
  </si>
  <si>
    <t>Charged off after recovery efforts exhausted</t>
  </si>
  <si>
    <t>Management commentary (disclosed, qualitative)</t>
  </si>
  <si>
    <t>FY26: GNPA improvement "achieved through enhancements in the underwriting model and strengthening of the collection infrastructure... improvements in monthly bounce and flow metrics, along with a significant reduction in slippages." (AR FY2026, KPI section)</t>
  </si>
  <si>
    <t>POONAWALLA FINCORP — DIGITAL TRANSFORMATION KPIs</t>
  </si>
  <si>
    <t>Mixed disclosure: DDP (Direct Digital Platform) share of disbursement IS disclosed for FY23 and FY24 (81% / 82%, AR FY2024 pg.14) but not thereafter. STP rate, AI-underwriting share, digital collections share, TAT and cost-per-loan are NOT disclosed — those rows are modelled assumptions (yellow), included to show the KPI framework management uses.</t>
  </si>
  <si>
    <t>Digital KPI</t>
  </si>
  <si>
    <t>FY2026 (modelled)</t>
  </si>
  <si>
    <t>Disclosure Status</t>
  </si>
  <si>
    <t>DDP digital sourcing % of disbursement</t>
  </si>
  <si>
    <t>DISCLOSED (AR FY2024 pg.14); not published FY25-26</t>
  </si>
  <si>
    <t>Straight-Through Processing (STP) rate %</t>
  </si>
  <si>
    <t>Not disclosed — illustrative</t>
  </si>
  <si>
    <t>AI/ML-assisted underwriting share %</t>
  </si>
  <si>
    <t>Not disclosed — illustrative (AR FY26 pg.24-26 confirms AI initiatives qualitatively)</t>
  </si>
  <si>
    <t>Digital collections share %</t>
  </si>
  <si>
    <t>Average turnaround time — TAT (days)</t>
  </si>
  <si>
    <t>Not disclosed — illustrative (AR notes "consistently reduced TAT")</t>
  </si>
  <si>
    <t>Illustrative cost per loan sourced (₹)</t>
  </si>
  <si>
    <t>Blended CAC from Distribution Analytics (illustrative)</t>
  </si>
  <si>
    <t>DIGITAL IMPACT ON FINANCIALS (linked, real data)</t>
  </si>
  <si>
    <t>Opex / Avg. AUM % (Q1 FY27 actual, vs 4.13% prior qtr)</t>
  </si>
  <si>
    <t>DISCLOSED — Q1 FY27 earnings call</t>
  </si>
  <si>
    <t>Cost-to-Income Ratio % (FY26A)</t>
  </si>
  <si>
    <t>Computed; cross-checked to company disclosure (52.01%)</t>
  </si>
  <si>
    <t>Revenue per Employee (₹ Cr, FY26A)</t>
  </si>
  <si>
    <t>Computed from disclosed headcount (5,860, AR pg.4)</t>
  </si>
  <si>
    <t>Employees per Branch (FY26A)</t>
  </si>
  <si>
    <t>Computed from disclosed headcount ÷ branch count</t>
  </si>
  <si>
    <t>A — BUSINESS MODEL</t>
  </si>
  <si>
    <t>Business Operating Model</t>
  </si>
  <si>
    <t>End-to-end lending value chain</t>
  </si>
  <si>
    <t>Acquisition channels (illustrative)</t>
  </si>
  <si>
    <t>CAC, CLTV, payback (illustrative)</t>
  </si>
  <si>
    <t>Customer base &amp; cross-sell</t>
  </si>
  <si>
    <t>B — STRATEGIC FINANCE</t>
  </si>
  <si>
    <t>One-page board overview + KPI trends</t>
  </si>
  <si>
    <t>Cited historical KPIs, Q1 FY27, guidance</t>
  </si>
  <si>
    <t>Performance (actual + forecast)</t>
  </si>
  <si>
    <t>Network optimisation</t>
  </si>
  <si>
    <t>Roll rates &amp; recovery (illustrative)</t>
  </si>
  <si>
    <t>F — FINANCIAL STATEMENTS</t>
  </si>
  <si>
    <t>A</t>
  </si>
  <si>
    <t>SECTION A — BUSINESS MODEL</t>
  </si>
  <si>
    <t>How Poonawalla actually operates. This section starts with the customer — not the P&amp;L — and traces the full lending journey through to shareholder value. Everything in Sections B–F is downstream of what happens here.</t>
  </si>
  <si>
    <t>WHAT THIS SECTION COVERS</t>
  </si>
  <si>
    <t>•  The end-to-end lending value chain: lead generation → acquisition → underwriting → disbursement → collections → cross-sell</t>
  </si>
  <si>
    <t>•  The distribution engine: which channels source customers, at what cost and conversion</t>
  </si>
  <si>
    <t>•  Customer unit economics: acquisition cost, lifetime value, payback period, cross-sell depth</t>
  </si>
  <si>
    <t>•  The conceptual bridge linking business strategy to measurable shareholder value</t>
  </si>
  <si>
    <t>SHEETS IN THIS SECTION</t>
  </si>
  <si>
    <t>What it does</t>
  </si>
  <si>
    <t>The 11-stage lending value chain, each stage showing its live metric and the tab that models it, plus the management flywheel</t>
  </si>
  <si>
    <t>Conceptual loop connecting strategy to shareholder value</t>
  </si>
  <si>
    <t>Acquisition channel mix, CAC and conversion by channel (illustrative — channel data not disclosed)</t>
  </si>
  <si>
    <t>CAC, CLTV, CAC payback and CLTV:CAC ratio (illustrative — unit economics not disclosed)</t>
  </si>
  <si>
    <t>Customer base growth, cross-sell rate, AUM per customer</t>
  </si>
  <si>
    <t>B</t>
  </si>
  <si>
    <t>SECTION B — STRATEGIC FINANCE</t>
  </si>
  <si>
    <t>The board-level view: what happened, why it happened, and what management should do next. This is the section a CFO or VP Finance reads first.</t>
  </si>
  <si>
    <t>•  A single-page board cockpit: business health RAG, executive narrative, driver engine, decision box and value creation</t>
  </si>
  <si>
    <t>•  The cited disclosure backbone — every historical KPI traced to an annual report page, plus Q1 FY27 actuals and management guidance</t>
  </si>
  <si>
    <t>•  The driver chain that builds AUM from customers, ticket size, cross-sell and portfolio runoff</t>
  </si>
  <si>
    <t>•  The full ratio suite across FY2021–FY2026 actuals and FY2027E–FY2031E forecast</t>
  </si>
  <si>
    <t>One-page board overview: business health, narrative, driver engine, CEO heat map, capital allocation, and 10 KPI trend charts (actuals vs forecast)</t>
  </si>
  <si>
    <t>Cited historical KPIs (FY21–FY26), Q1 FY27 latest-quarter actuals, and management's stated guidance</t>
  </si>
  <si>
    <t>The growth engine — AUM is derived here from customers, loan size, cross-sell and runoff, not assumed</t>
  </si>
  <si>
    <t>~90 ratios across growth, profitability, asset quality, capital, liquidity, per-share and efficiency — actual and forecast</t>
  </si>
  <si>
    <t>C</t>
  </si>
  <si>
    <t>The driver-based FY2027E–FY2031E forecast engine. No line here is a growth-percentage guess — every projection builds from an operating driver, with each assumption cited to a disclosed figure or explicitly marked illustrative.</t>
  </si>
  <si>
    <t>•  Revenue built as Average AUM × Yield, plus fee and other income</t>
  </si>
  <si>
    <t>•  Funding: borrowings scaled to AUM at a leverage consistent with CRAR headroom, and the cost-of-funds glide path</t>
  </si>
  <si>
    <t>•  Treasury and liquidity: borrowing mix and implied cost of funds cross-check</t>
  </si>
  <si>
    <t>•  Credit cost: GNPA/NNPA/PCR glide path converting to a provisioning charge</t>
  </si>
  <si>
    <t>•  Operating costs forecast by category on their own drivers, plus capex and depreciation roll-forward</t>
  </si>
  <si>
    <t>Average AUM × Yield = Interest Income; fee and other income as % of AUM</t>
  </si>
  <si>
    <t>Borrowings, cost of funds and interest expense</t>
  </si>
  <si>
    <t>Borrowing mix, cost of borrowing and liquidity position</t>
  </si>
  <si>
    <t>GNPA, NNPA, PCR glide path and the resulting credit cost</t>
  </si>
  <si>
    <t>Net block roll-forward feeding D&amp;A into the P&amp;L, Cash Flow and Balance Sheet</t>
  </si>
  <si>
    <t>D</t>
  </si>
  <si>
    <t>Where capital is deployed and how the book is performing. This section answers the capital-allocation question: which products, branches and channels deserve more investment, and where is risk building?</t>
  </si>
  <si>
    <t>•  Product mix by disclosed AUM, with growth, yield, risk and a derived Expand / Grow / Maintain / Review decision</t>
  </si>
  <si>
    <t>•  Product-level and branch-level profitability lenses</t>
  </si>
  <si>
    <t>•  The collections funnel: bucket roll rates, recovery and write-off (framework illustrative; disclosed asset-quality metrics linked)</t>
  </si>
  <si>
    <t>•  Digital transformation KPIs and their flow-through to cost efficiency</t>
  </si>
  <si>
    <t>•  Enterprise risk cockpit with formula-driven RAG status, and the live scenario toggle</t>
  </si>
  <si>
    <t>12 products with disclosed Mar-26 AUM, growth, yield, risk and capital-allocation decision</t>
  </si>
  <si>
    <t>Product-level economics and ROE (AUM disclosed; P&amp;L allocation illustrative)</t>
  </si>
  <si>
    <t>Network productivity and profit per branch (illustrative — branch data not disclosed)</t>
  </si>
  <si>
    <t>Disclosed asset-quality metrics plus an illustrative bucket/roll-rate funnel</t>
  </si>
  <si>
    <t>DDP digital sourcing (disclosed FY23/24) plus modelled STP, AI and TAT metrics</t>
  </si>
  <si>
    <t>10 enterprise risks with live KPI values, formula-driven RAG, heat map and early-warning indicators</t>
  </si>
  <si>
    <t>Live Base / Upside / Downside toggle driving the entire forecast chain</t>
  </si>
  <si>
    <t>E</t>
  </si>
  <si>
    <t>Converting analysis into decisions, and decisions into tracked outcomes. This section closes the loop between what the model shows and what management should actually do.</t>
  </si>
  <si>
    <t>•  Data-backed answers to the questions management actually asks, each citing the tab and cell that supports it</t>
  </si>
  <si>
    <t>•  The value-creation initiative pipeline with quantified financial impact, owner and timeline</t>
  </si>
  <si>
    <t>•  The link from each initiative to the specific KPI it moves and the shareholder-value outcome it drives</t>
  </si>
  <si>
    <t>Five management questions answered from workbook data, with live cell references</t>
  </si>
  <si>
    <t>Five initiatives with baseline, target, quantified ₹ Cr impact, timeline and owner (₹350 Cr total identified)</t>
  </si>
  <si>
    <t>F</t>
  </si>
  <si>
    <t>SECTION F — FINANCIAL STATEMENTS</t>
  </si>
  <si>
    <t>The audited historical foundation the entire model rests on — FY2021–FY2026 consolidated statements extracted line-by-line from six annual reports, merged with the FY2027E–FY2031E forecast, plus full assumption documentation.</t>
  </si>
  <si>
    <t>•  Consolidated Balance Sheet, P&amp;L, Cash Flow and Equity movements — actuals and forecast in one view per statement</t>
  </si>
  <si>
    <t>•  Every historical line item traced to its annual report and page reference</t>
  </si>
  <si>
    <t>•  Integrity checks: Balance Sheet ties to zero and the Cash Flow reconciling item is nil in every period</t>
  </si>
  <si>
    <t>•  All forecast assumptions in one place with rationale and source for each</t>
  </si>
  <si>
    <t>Consolidated P&amp;L, FY2021–FY2026A and FY2027E–FY2031E</t>
  </si>
  <si>
    <t>Consolidated Balance Sheet with the ties-to-zero check row</t>
  </si>
  <si>
    <t>Consolidated Cash Flow with the reconciling-to-nil memo</t>
  </si>
  <si>
    <t>Equity movements per each year's own annual report</t>
  </si>
  <si>
    <t>Executive Board Cockpit</t>
  </si>
  <si>
    <t>Business Performance Scorecard</t>
  </si>
  <si>
    <t>POONAWALLA FINCORP LIMITED — ILLUSTRATIVE BRANCH CONTRIBUTION ANALYSIS</t>
  </si>
  <si>
    <t>⚠ ILLUSTRATIVE — NOT branch P&amp;L. Poonawalla does not disclose branch-level financials; only the FY26 branch count (500+, AR pg.2) is disclosed. This is a CONTRIBUTION waterfall, not profit: revenue less funding charge, credit cost, direct opex and allocated overhead. Portfolio-level yield, cost of funds and credit cost are taken from KPIs &amp; Ratios (real), so the network total reconciles against actual PAT in the check row below.</t>
  </si>
  <si>
    <t>Branch Count (FY26 disclosed; prior years illustrative)</t>
  </si>
  <si>
    <t>Gross Yield % (portfolio actual, from KPIs &amp; Ratios)</t>
  </si>
  <si>
    <t>Revenue per Branch (₹ Cr)</t>
  </si>
  <si>
    <t>(−) Funding Charge per Branch (₹ Cr, at portfolio cost of funds)</t>
  </si>
  <si>
    <t>(−) Credit Cost per Branch (₹ Cr, at portfolio credit cost %)</t>
  </si>
  <si>
    <t>(−) Direct Opex per Branch (₹ Cr, illustrative)</t>
  </si>
  <si>
    <t>(−) Allocated Central Overhead per Branch (₹ Cr, illustrative)</t>
  </si>
  <si>
    <t>= Pre-tax Contribution per Branch (₹ Cr)</t>
  </si>
  <si>
    <t>(−) Tax at effective rate</t>
  </si>
  <si>
    <t>= Post-tax Contribution per Branch (₹ Cr)</t>
  </si>
  <si>
    <t>× Branch Count = Network Contribution (₹ Cr)</t>
  </si>
  <si>
    <t>RECONCILIATION CHECK — does this hang together?</t>
  </si>
  <si>
    <t>Network Contribution above (₹ Cr)</t>
  </si>
  <si>
    <t>Actual Company PAT FY26 (₹ Cr, disclosed)</t>
  </si>
  <si>
    <t>Variance (₹ Cr)</t>
  </si>
  <si>
    <t>Interpretation</t>
  </si>
  <si>
    <t>Branch-sourced AUM (₹ Cr) = Total AUM × branch channel share</t>
  </si>
  <si>
    <t>Included in Base Case?</t>
  </si>
  <si>
    <t>Probability</t>
  </si>
  <si>
    <t>Ramp (yr 1 %)</t>
  </si>
  <si>
    <t>Risk-adj. Yr-1 Incremental (₹ Cr)</t>
  </si>
  <si>
    <t>No — incremental</t>
  </si>
  <si>
    <t>Partly — CoF glide already in Base</t>
  </si>
  <si>
    <t>Partly — credit cost glide already in Base</t>
  </si>
  <si>
    <t>DOUBLE-COUNT CONTROL</t>
  </si>
  <si>
    <t>Gross identified impact (₹ Cr p.a., column G)</t>
  </si>
  <si>
    <t>Risk-adjusted Yr-1 incremental, excluding items already in Base Case (₹ Cr)</t>
  </si>
  <si>
    <t>Of gross, already embedded in Base Case forecast (₹ Cr)</t>
  </si>
  <si>
    <t>Why this matters</t>
  </si>
  <si>
    <t>POONAWALLA FINCORP — REGULATORY CAPITAL: RWA → CRAR → CAPITAL REQUIREMENT</t>
  </si>
  <si>
    <t>Replaces the Equity/Assets CRAR proxy with a risk-weighted build. Product AUM is Company-disclosed (AR FY26 pg.116-119); risk weights are RBI standardised norms (blue, cited per row). Capital is derived from the Balance Sheet. Capital requirement then CONSTRAINS the AUM forecast rather than being a balancing figure.</t>
  </si>
  <si>
    <t>1. CREDIT RWA BUILD — FY2026A (by disclosed product)</t>
  </si>
  <si>
    <t>Risk Weight %</t>
  </si>
  <si>
    <t>RWA (₹ Cr)</t>
  </si>
  <si>
    <t>Risk-weight basis</t>
  </si>
  <si>
    <t>Secured by property — 75% (RBI standardised, LAP/mortgage-backed)</t>
  </si>
  <si>
    <t>Unsecured consumer credit — 125% (RBI circular Nov-2023 raised NBFC consumer credit RW to 125%)</t>
  </si>
  <si>
    <t>Vehicle finance — 100% (excluded from the 125% consumer-credit uplift)</t>
  </si>
  <si>
    <t>MSME / regulatory retail — 75%</t>
  </si>
  <si>
    <t>Unsecured personal loan — 125% (RBI Nov-2023)</t>
  </si>
  <si>
    <t>Gold loan — 100% (secured by gold, no consumer-credit uplift)</t>
  </si>
  <si>
    <t>Commercial vehicle — 100%</t>
  </si>
  <si>
    <t>Education loan — 100% (excluded from consumer-credit uplift)</t>
  </si>
  <si>
    <t>Equipment finance — 100%</t>
  </si>
  <si>
    <t>Unsecured professional loan — 125%</t>
  </si>
  <si>
    <t>Unsecured consumer durable — 125%</t>
  </si>
  <si>
    <t>Other / legacy — 100% (blended)</t>
  </si>
  <si>
    <t>TOTAL CREDIT RWA</t>
  </si>
  <si>
    <t>← Blended risk weight, used to risk-weight the forecast AUM below</t>
  </si>
  <si>
    <t>2. RWA, CAPITAL &amp; CRAR — ACTUAL AND FORECAST</t>
  </si>
  <si>
    <t>Blended risk weight % (FY26 product mix held constant)</t>
  </si>
  <si>
    <t>Credit RWA (₹ Cr)</t>
  </si>
  <si>
    <t>TOTAL RWA (₹ Cr)</t>
  </si>
  <si>
    <t>Tier 1 capital (₹ Cr) = Total equity less intangibles/DTA</t>
  </si>
  <si>
    <t>Tier 2 capital (₹ Cr) = subordinated liabilities, capped at 100% of Tier 1</t>
  </si>
  <si>
    <t>TOTAL CAPITAL FUNDS (₹ Cr)</t>
  </si>
  <si>
    <t>CRAR % (Total capital ÷ Total RWA)</t>
  </si>
  <si>
    <t>Tier 1 % (Tier 1 ÷ Total RWA)</t>
  </si>
  <si>
    <t>Memo: FY26A disclosed CRAR (standalone) for cross-check</t>
  </si>
  <si>
    <t>3. CAPITAL REQUIREMENT &amp; EQUITY GAP — does the growth plan fund itself?</t>
  </si>
  <si>
    <t>Regulatory minimum CRAR % (NBFC-Upper Layer)</t>
  </si>
  <si>
    <t>Management buffer % (above regulatory minimum)</t>
  </si>
  <si>
    <t>Target CRAR % (minimum + buffer)</t>
  </si>
  <si>
    <t>Required capital at target CRAR (₹ Cr)</t>
  </si>
  <si>
    <t>Available capital funds (₹ Cr)</t>
  </si>
  <si>
    <t>Status vs target CRAR</t>
  </si>
  <si>
    <t>Internal capital generation — PAT retained (₹ Cr, 0% payout assumed)</t>
  </si>
  <si>
    <t>Incremental capital needed in year (₹ Cr)</t>
  </si>
  <si>
    <t>EXTERNAL EQUITY REQUIRED in year (₹ Cr)</t>
  </si>
  <si>
    <t>Cumulative external equity required FY27E-31E (₹ Cr)</t>
  </si>
  <si>
    <t>Forecast AUM (₹ Cr)</t>
  </si>
  <si>
    <t>AUM gap — forecast above internally-fundable ceiling (₹ Cr)</t>
  </si>
  <si>
    <t>Verdict</t>
  </si>
  <si>
    <t>6. KEY MANAGEMENT MESSAGES</t>
  </si>
  <si>
    <t>Capital Adequacy Ratio – CRAR % (FY21-26A disclosed; FY27E-31E from RWA schedule)</t>
  </si>
  <si>
    <t>Regulatory Capital</t>
  </si>
  <si>
    <t>RWA → CRAR → capital requirement; shows the growth plan is capital-constrained and sizes the equity need</t>
  </si>
  <si>
    <t>(Memo, Forecast only) External Capital Raise required to hold target CRAR (₹ Cr)</t>
  </si>
  <si>
    <t>External capital raise per Balance Sheet, FY27E-31E (₹ Cr)</t>
  </si>
  <si>
    <t>ARCHITECTURE NOTE</t>
  </si>
  <si>
    <t>Operational risk RWA (₹ Cr, 15% of PRIOR-year gross income × 12.5)</t>
  </si>
  <si>
    <t>Forecast liquidity ratio — cash &amp; equivalents as % of AUM</t>
  </si>
  <si>
    <t>Borrowings are NO LONGER an independent ratio. Total borrowings are now the residual funding requirement from the Balance Sheet — total assets less RWA-driven equity less non-debt liabilities. Regulatory capital therefore determines leverage: the borrowings/AUM ratio below is a computed OUTPUT, not an assumption.</t>
  </si>
  <si>
    <t>Borrowings as % of AUM (OUTPUT — result of capital structure)</t>
  </si>
  <si>
    <t>Total Borrowings (₹ Cr, residual from Balance Sheet)</t>
  </si>
  <si>
    <t>(Memo) Debt-to-Equity (x) — vs RWA-driven equity</t>
  </si>
  <si>
    <t>5. CAPITAL BRIDGE — regulatory requirement to Balance Sheet raise (must reconcile to zero)</t>
  </si>
  <si>
    <t>Incremental regulatory requirement FY27E-31E, net of retained earnings (₹ Cr)</t>
  </si>
  <si>
    <t>= TOTAL external capital required FY27E-31E (₹ Cr)</t>
  </si>
  <si>
    <t>BRIDGE CHECK (must be zero)</t>
  </si>
  <si>
    <t>Regulatory Capital Consumed % of AUM (risk weight × target CRAR)</t>
  </si>
  <si>
    <t>STRATEGIC RESOLUTION — does high-yield unsecured still win after capital?</t>
  </si>
  <si>
    <t>CAPITAL CONSEQUENCES OF THE ACTIVE SCENARIO (live — follows the selector above)</t>
  </si>
  <si>
    <t>Why it matters</t>
  </si>
  <si>
    <t>CRAR % (RWA-based)</t>
  </si>
  <si>
    <t>Held at target by construction — equity is sized to the requirement</t>
  </si>
  <si>
    <t>Total RWA (₹ Cr)</t>
  </si>
  <si>
    <t>Stress shrinks AUM so RWA falls — but capital generation falls too</t>
  </si>
  <si>
    <t>Cumulative external capital required FY27E-31E (₹ Cr)</t>
  </si>
  <si>
    <t>THE key stress output: how much more equity is needed if things go wrong</t>
  </si>
  <si>
    <t>Retained earnings contribution FY27E-31E (₹ Cr)</t>
  </si>
  <si>
    <t>Falls sharply in downside — weaker PAT means less internal capital</t>
  </si>
  <si>
    <t>Capital-constrained AUM ceiling, FY31E (₹ Cr)</t>
  </si>
  <si>
    <t>Max AUM fundable from retained earnings alone</t>
  </si>
  <si>
    <t>Forecast AUM FY31E (₹ Cr)</t>
  </si>
  <si>
    <t>AUM above internally-fundable ceiling (₹ Cr)</t>
  </si>
  <si>
    <t>The growth that cannot happen without raising equity</t>
  </si>
  <si>
    <t>External capital required FY27E-31E (₹ Cr)</t>
  </si>
  <si>
    <t>Retained earnings contribution (₹ Cr)</t>
  </si>
  <si>
    <t>FY31E AUM above internally-fundable ceiling (₹ Cr)</t>
  </si>
  <si>
    <t>FY31E Total RWA (₹ Cr)</t>
  </si>
  <si>
    <t>THE KEY STRESS FINDING</t>
  </si>
  <si>
    <t>AUM by product is Company-disclosed (AR FY26 pg.116-119). Yield is disclosed as a range for 5 products. Cost of Funds, Opex % and Credit Cost % remain ILLUSTRATIVE (yellow). The CAPITAL DENOMINATOR is no longer illustrative: column K derives regulatory capital consumed as RBI risk weight × 18% target CRAR (Regulatory Capital tab). Column L is therefore a MODELLED RAROC — a regulatory-capital-adjusted return, NOT a measured one: the denominator is regulatory, but the numerator still rests on illustrative cost of funds, opex and credit cost. Treat column L as a SCREENING metric for where to look harder, not as evidence of realised product returns.</t>
  </si>
  <si>
    <t>Modelled RAROC % (illustrative profit ÷ regulatory capital consumed)</t>
  </si>
  <si>
    <t>WHY THE RANKING CHANGED — modelled RAROC vs the old illustrative ROE</t>
  </si>
  <si>
    <t>WHAT WOULD MAKE THIS DECISION-GRADE — the evidence gap between screening and allocation</t>
  </si>
  <si>
    <t>Column L ranks products on a numerator that is three-parts illustrative (cost of funds allocated flat at the blended 7.73%, opex % of AUM, credit cost % of AUM) and one-part disclosed (AUM; yield for 5 products). Four internal inputs are required to turn this from a hypothesis into a capital-allocation decision, in priority order: (1) product-level ACTUAL credit cost by vintage — the largest swing factor, since 100bps of credit-cost error moves Instant Consumer Loan RAROC by c.4.4 points and Business Loan by c.7.4 points; (2) fully-allocated acquisition and servicing cost per product, replacing the flat opex % assumption; (3) MARGINAL rather than blended cost of funds by product tenor — short-tenor consumer and long-tenor LAP do not carry the same funding cost; (4) through-cycle loss curves, so the ranking is not a point-in-time artefact of a benign credit year. Until those exist, the defensible statement is "Business Loan and Instant Consumer Loan screen attractively on capital-adjusted returns and merit deeper validation" — not "allocate incremental capital here".</t>
  </si>
  <si>
    <t>LIVE RAROC RANKING — the calculation behind section 1 above (auditable, not hand-typed)</t>
  </si>
  <si>
    <t>Rank</t>
  </si>
  <si>
    <t>Modelled RAROC %</t>
  </si>
  <si>
    <t>AUM (₹ Cr, disclosed)</t>
  </si>
  <si>
    <t>Reg. capital consumed % of AUM</t>
  </si>
  <si>
    <t>1 — highest</t>
  </si>
  <si>
    <t>2 — second</t>
  </si>
  <si>
    <t>Lowest of the material products</t>
  </si>
  <si>
    <t>Ranking universe: the 12 named disclosed products, restricted to those with AUM ≥ ₹300 Cr. This excludes Shopkeeper Loan (₹1 Cr — immaterial, would otherwise rank 4th on a rounding artefact) and the "Other / Legacy Portfolio" line, which is a reconciling balance rather than a product. Ranking is on MODELLED RAROC (return per unit of regulatory capital consumed), not headline ROE — the two rank the portfolio differently.</t>
  </si>
  <si>
    <t>Highest modelled RAROC — material products (Product Profitability col L; ranking at row 39 below):</t>
  </si>
  <si>
    <t>CAPITAL STRESS COMPARISON — column order matches the scenario table above (Base | Upside | Downside). Values are STATIC captures taken by toggling the selector; re-toggle to verify.</t>
  </si>
  <si>
    <t>Memo: TOTAL regulatory capital required at target CRAR, FY31E (₹ Cr)</t>
  </si>
  <si>
    <t>4. CAPITAL-CONSTRAINED GROWTH CEILING — regulatory capital only. Funding availability, ALM, liquidity, origination capacity, collections infrastructure, risk appetite and concentration limits are NOT modelled here.</t>
  </si>
  <si>
    <t>Capital-constrained supportable AUM at target CRAR, on that year's internally-generated capital only (₹ Cr)</t>
  </si>
  <si>
    <t>Verdict (capital constraint only)</t>
  </si>
  <si>
    <t>7. BOARD CONSTRAINT TEST — what if no external equity is permitted for five years?</t>
  </si>
  <si>
    <t>Cumulative test: capital compounds from the FY2026A base through retained earnings only. No issuance in any year.</t>
  </si>
  <si>
    <t>FY2026A total capital funds (₹ Cr)</t>
  </si>
  <si>
    <t>(+) Cumulative retained earnings FY2027E-FY2031E, 0% payout (₹ Cr)</t>
  </si>
  <si>
    <t>= Capital funds available at FY2031E with ZERO issuance (₹ Cr)</t>
  </si>
  <si>
    <t>Implied total RWA ceiling at target CRAR (₹ Cr)</t>
  </si>
  <si>
    <t>(-) Operational risk RWA, FY2031E (₹ Cr)</t>
  </si>
  <si>
    <t>= Credit RWA available for lending (₹ Cr)</t>
  </si>
  <si>
    <t>Implied FY2031E AUM ceiling at the FY2026A blended risk weight (₹ Cr)</t>
  </si>
  <si>
    <t>Forecast FY2031E AUM (₹ Cr)</t>
  </si>
  <si>
    <t>AUM that cannot be written without equity (₹ Cr)</t>
  </si>
  <si>
    <t>AUM ceiling as % of the forecast plan</t>
  </si>
  <si>
    <t>Illustrative FY2031E PAT if unit margins hold on the smaller book (₹ Cr)</t>
  </si>
  <si>
    <t>FY2031E PAT foregone vs the plan (₹ Cr)</t>
  </si>
  <si>
    <t>UPPER BOUND, not the expected case: this applies the forecast retained earnings, which were earned on the larger book. On a book c.42% smaller, PAT — and therefore internal capital formation — would be lower, compressing the ceiling further. It also holds the FY2026A blended risk weight constant and assumes 0% dividend payout throughout. Read it as the best case under an equity freeze.</t>
  </si>
  <si>
    <t>8. CAPITAL-RAISE FEASIBILITY — is the requirement actually raisable, and at what dilution?</t>
  </si>
  <si>
    <t>Largest equity raise executed to date — QIP completed FY2026 (₹ Cr, DISCLOSED)</t>
  </si>
  <si>
    <t>Average annual issuance implied by the plan, FY2027E-FY2031E (₹ Cr)</t>
  </si>
  <si>
    <t>Implied multiple of the largest raise achieved to date (x)</t>
  </si>
  <si>
    <t>What this does and does not tell you</t>
  </si>
  <si>
    <t>Screening flag (not an approved decision)</t>
  </si>
  <si>
    <t>SCREENING THRESHOLDS — management-set inputs; the flags in column I update from these</t>
  </si>
  <si>
    <t>Modelled RAROC hurdle for expansion</t>
  </si>
  <si>
    <t>Credit cost ceiling to qualify as "Expand"</t>
  </si>
  <si>
    <t>Credit cost level that triggers "Review"</t>
  </si>
  <si>
    <t>ILLUSTRATIVE thresholds — not disclosed policy. They were previously hardcoded inside the column I formulas; they now sit here so the screen can be re-run at a different hurdle. Column I is a SCREEN on modelled economics, not an approved capital decision: the RAROC numerator still rests on illustrative cost of funds, opex and credit cost (see Product Profitability rows 29-30).</t>
  </si>
  <si>
    <t>Modelled RAROC % — weighted average across products (illustrative numerator, regulatory capital denominator; Product Profitability tab, FY2026 only)</t>
  </si>
  <si>
    <t>Modelled RAROC % (Profitability)</t>
  </si>
  <si>
    <t>Screening flag</t>
  </si>
  <si>
    <t>KNOWN LIMITATION — this is a credit-cost FORECAST, not an expected-loss engine</t>
  </si>
  <si>
    <t>Credit cost normalisation is the single largest driver of the PAT and ROE recovery in this model (Scenario Analysis row 30 shows a c.6-point FY2031E ROE swing on this line alone), so the reader is entitled to know exactly what stands behind it. What stands behind it: disclosed GNPA, NNPA, PCR and credit cost by year, plus a management-guided improvement glide path. What does NOT stand behind it: Stage 1 / Stage 2 / Stage 3 ECL staging, PD, LGD and EAD by product, vintage loss curves, 30+/60+/90+ DPD migration and roll-rates, cure rates, and write-off versus recovery splits. None of that is publicly disclosed at product level.</t>
  </si>
  <si>
    <t>Consequence to state plainly: the Collections Analytics tab is a monitoring FRAMEWORK, not a calibrated expected-loss model. Until internal bureau and DPD-bucket data is loaded, the credit-cost path is a management-guided trajectory with a scenario range around it — not a modelled loss outcome. This is the largest single concentration of forecast risk in the workbook, and the Downside scenario exists precisely to size it (Scenario Analysis rows 45-56 show the capital consequence if it does not normalise).</t>
  </si>
  <si>
    <t>THE CORE DECISION PATH — the 9 tabs that actually drive the recommendation</t>
  </si>
  <si>
    <t>Customers, disbursement and AUM build — every forecast line starts here</t>
  </si>
  <si>
    <t>Where the disclosed ₹60,348 Cr book actually sits, by product</t>
  </si>
  <si>
    <t>Modelled RAROC by product — return per unit of regulatory capital consumed</t>
  </si>
  <si>
    <t>The largest single forecast risk — read the limitation block at row 15</t>
  </si>
  <si>
    <t>Cost of funds and the borrowing mix that funds the residual</t>
  </si>
  <si>
    <t>Where drivers, credit cost and funding converge into earnings</t>
  </si>
  <si>
    <t>RWA → target CRAR → capital requirement → Balance Sheet equity. Sections 7-8 answer the equity-freeze and feasibility questions</t>
  </si>
  <si>
    <t>P&amp;L and CAPITAL consequences of each case — sizes the risk</t>
  </si>
  <si>
    <t>The conclusions, each citing the tab and cell that supports it</t>
  </si>
  <si>
    <t>The one question this chain is built to answer: given incremental capital, where should it be deployed to raise sustainable return without breaching the 18% target CRAR — and what happens if that capital is not available?</t>
  </si>
  <si>
    <t>THE SECOND STRESS FINDING — growth is not capital-free</t>
  </si>
  <si>
    <t>Post-tax Contribution per Branch, FY2023→FY2026 (Branch Profitability row 16 — ILLUSTRATIVE, not a branch P&amp;L):</t>
  </si>
  <si>
    <t>WHY 1.5% AS THE TERMINAL CREDIT COST — the defensible answer</t>
  </si>
  <si>
    <t>It is NOT independently proven by this model, and it should not be claimed as such. Public disclosure does not contain the cohort-level inputs (PD, LGD, EAD, DPD migration, vintage loss curves) needed to derive a terminal loss rate bottom-up. WHAT SUPPORTS 1.5%: (a) the Company's own disclosed trajectory — GNPA 3.29% FY22 → 1.44% FY26 and NNPA 0.74% FY26, with management attributing the improvement to underwriting-model and collections changes (AR FY26 pg.19/35); (b) a 54% secured mix at FY26 rising toward management's 50:50 target, which structurally lowers loss-given-default; (c) FY2026A's ~2.5% is itself inflated by the FY2025 short-term personal loan recalibration, so the starting point is not a steady state. WHAT DOES NOT SUPPORT IT: any bottom-up loss model. It is a forecast assumption that is stressed, not a derived result.</t>
  </si>
  <si>
    <t>HOW TO FALSIFY IT: if Stage 2 balances, 30+ DPD flow rates or the FY2027-28 vintage loss curves do not improve in line with the GNPA glide in row 6, the terminal assumption is wrong and the Downside becomes the planning case — which the Scenario Analysis tab prices at c.6 points of FY2031E ROE and c.₹2,700 Cr of additional external equity. Loading internal DPD-bucket and bureau data should be the first production upgrade to this model.</t>
  </si>
  <si>
    <t>⚠ SCOPE: this is a STRATEGIC RWA APPROXIMATION for FP&amp;A planning, built from public disclosure — it is NOT Poonawalla's regulatory capital computation. The model produces 15.03% CRAR at FY2026A against the DISCLOSED 16.83% (row 34). The gap is expected and explained: Tier 1 uses total equity without the regulatory deductions (goodwill, intangibles, DTA above threshold, investments in subsidiaries), an operational-risk charge is added that RBI does not mandate for NBFCs, product risk weights are standardised norms rather than the Company's actual asset-class mapping, and the build is consolidated while the disclosure is standalone. Use it to size the DIRECTION and MAGNITUDE of the capital requirement, not to reproduce a regulatory filing.</t>
  </si>
  <si>
    <t>⚠ SCOPE: this is STRATEGIC SCENARIO ANALYSIS, not a regulatory or credit stress test. Stress enters through four macro-level inputs — customer acquisition, yield, cost of funds and credit cost — applied uniformly across the book. A genuine credit stress test would deteriorate the portfolio operationally: migrate balances through DPD buckets, apply cohort-specific PD/LGD shocks, model collection-capacity strain and cure-rate collapse, and let losses emerge by vintage. That requires internal MIS this model does not have (see Credit Cost Forecast rows 15-21). What this tab DOES do well: it sizes the earnings AND capital consequences of a plausible range, and it holds the Base Case honest by showing what the Downside costs.</t>
  </si>
  <si>
    <t>WHAT IS REAL HERE AND WHAT IS NOT — read this before quoting any ₹ figure on this tab</t>
  </si>
  <si>
    <t>THE MECHANISM IS THE DELIVERABLE: baseline, target, owner, timeline, probability, Year-1 ramp, an explicit "already in Base Case?" flag, and a gross-to-risk-adjusted bridge that prevents double-counting benefits the forecast already assumes. That governance structure is the transferable part and it is genuinely sound.</t>
  </si>
  <si>
    <t>THE VALUES ARE NOT EVIDENCE. The initiative impacts in column G — ₹90 Cr branch productivity, ₹45 Cr channel optimisation, ₹35 Cr cross-sell and the rest — are ILLUSTRATIVE sizing, not management-approved business cases. Poonawalla does not disclose initiative-level benefit tracking. The probabilities in column K and ramps in column L are equally judgemental. In production every column G value would be replaced by an approved business case with a named owner and a measurable baseline, at which point the arithmetic on this tab becomes meaningful. Quote the ₹52.7 Cr risk-adjusted incremental figure only as "what the framework produces on illustrative inputs" — never as an expected benefit.</t>
  </si>
  <si>
    <t>WHAT THIS TAB CAN AND CANNOT ANSWER</t>
  </si>
  <si>
    <t>CAN: show how branch contribution would be constructed - revenue at portfolio yield, less a funding charge at portfolio cost of funds, less credit cost at the portfolio rate, less direct opex and allocated overhead, taxed - and show that on illustrative inputs the 500-branch network explains roughly 56% of FY2026 PAT, with the balance coming from digital/DSA origination and treasury. The reconciliation row below is the discipline: it stops the analysis drifting away from actual reported profit.</t>
  </si>
  <si>
    <t>CANNOT: compare one branch with another, one format with another (gold-loan vs personal-loan branch), or one vintage with another. Every branch here carries identical assumed economics, so the tab has no dispersion in it - by construction. It also cannot answer where to open the next branch. Those questions need branch-level MIS: revenue, opex, headcount, disbursement and delinquency by branch and cohort. None of that is publicly disclosed, so this is the METHOD, not a finding. Do not present it as one of the model's main conclusions.</t>
  </si>
  <si>
    <t>6. WHAT HAS TO GO RIGHT — the conditions the Base Case is contingent on</t>
  </si>
  <si>
    <t>The Base Case is a STRATEGIC PLANNING CASE conditional on execution, not a prediction of what will happen. All seven conditions below must hold at once. They are listed with the evidence behind each, so the reader can discount them independently.</t>
  </si>
  <si>
    <t>Condition</t>
  </si>
  <si>
    <t>FY2026A → FY2031E</t>
  </si>
  <si>
    <t>Evidence quality</t>
  </si>
  <si>
    <t>1. AUM compounds without a growth stumble</t>
  </si>
  <si>
    <t>Driver-based build (Business Drivers), not a growth-rate assumption — but holding a 32%+ CAGR for five consecutive years is the model's single most aggressive assumption.</t>
  </si>
  <si>
    <t>2. Credit cost normalises</t>
  </si>
  <si>
    <t>Management-guided glide, consistent with the disclosed GNPA trend (3.29% FY22 → 1.44% FY26). NO bottom-up expected-loss engine behind it — Credit Cost Forecast rows 15-21.</t>
  </si>
  <si>
    <t>3. Operating leverage delivers</t>
  </si>
  <si>
    <t>Assumption. Directionally consistent with the disclosed trend and with AI-led underwriting/collections (AR FY26 pg.24-26), but not company guidance.</t>
  </si>
  <si>
    <t>4. Cost of funds improves</t>
  </si>
  <si>
    <t>The least aggressive condition — c.48bps over five years, plausible on rating migration and NCD diversification (Funding Forecast).</t>
  </si>
  <si>
    <t>5. External equity is available when needed</t>
  </si>
  <si>
    <t>6. Debt markets absorb the residual funding</t>
  </si>
  <si>
    <t>Residual by construction — borrowings are whatever assets less equity less non-debt liabilities requires, allocated at the FY2026A instrument mix. Availability, tenor and ALM constraints are not modelled.</t>
  </si>
  <si>
    <t>7. Branch and channel productivity keeps rising</t>
  </si>
  <si>
    <t>AUM per branch rises in every forecast year</t>
  </si>
  <si>
    <t>Illustrative. Note two different bases coexist in the workbook — total-book AUM per branch (Business Drivers row 30) and branch-sourced AUM per branch (Branch Profitability row 7). Do not quote them interchangeably.</t>
  </si>
  <si>
    <t>OPEX GROWTH BY CATEGORY, FY2026A → FY2027E — drives the cost recommendation in Management Recommendations</t>
  </si>
  <si>
    <t>Category</t>
  </si>
  <si>
    <t>FY2026A (₹ Cr)</t>
  </si>
  <si>
    <t>FY2027E (₹ Cr)</t>
  </si>
  <si>
    <t>Growth %</t>
  </si>
  <si>
    <t>Employee Cost</t>
  </si>
  <si>
    <t>Branch Cost</t>
  </si>
  <si>
    <t>Technology</t>
  </si>
  <si>
    <t>Marketing</t>
  </si>
  <si>
    <t>Collections</t>
  </si>
  <si>
    <t>Other Operating Expenses</t>
  </si>
  <si>
    <t>Fastest-growing category, FY2027E</t>
  </si>
  <si>
    <t>Second fastest</t>
  </si>
  <si>
    <t>Slowest-growing category</t>
  </si>
  <si>
    <t>Fastest-growing Opex categories, FY2026A→FY2027E (Operating Cost Forecast rows 36-47):</t>
  </si>
  <si>
    <t>9. WHY ₹18,364 Cr — DECOMPOSITION. What the number is made of, and which part is a choice</t>
  </si>
  <si>
    <t>The calculations above answer "how much". This answers "why that much". Three drivers sum to the total capital build; retained earnings then fund part of it.</t>
  </si>
  <si>
    <t>Required capital at FY2031E, at target CRAR (₹ Cr)</t>
  </si>
  <si>
    <t>(−) FY2026A Tier 1 capital already in place (₹ Cr)</t>
  </si>
  <si>
    <t>= TOTAL capital to be built, FY2027E-FY2031E (₹ Cr)</t>
  </si>
  <si>
    <t>Attribution of that build — what is actually driving it:</t>
  </si>
  <si>
    <t xml:space="preserve">   (a) Growth in CREDIT RWA, at the FY2026A blended risk weight (₹ Cr)</t>
  </si>
  <si>
    <t xml:space="preserve">   (b) Growth in OPERATIONAL RISK RWA (₹ Cr)</t>
  </si>
  <si>
    <t xml:space="preserve">   (c) Holding the target CRAR rather than FY2026A's actual level — the catch-up (₹ Cr)</t>
  </si>
  <si>
    <t xml:space="preserve">   Check: (a) + (b) + (c) less total capital to be built (must be zero)</t>
  </si>
  <si>
    <t>(−) Funded from retained earnings, 0% payout (₹ Cr)</t>
  </si>
  <si>
    <t>= EXTERNAL EQUITY REQUIRED (₹ Cr)</t>
  </si>
  <si>
    <t>Check vs the section 5 bridge (must be zero)</t>
  </si>
  <si>
    <t>Sensitivity — external equity required at different target CRAR (base case shaded)</t>
  </si>
  <si>
    <t>Target CRAR</t>
  </si>
  <si>
    <t>External equity required FY2027E-FY2031E (₹ Cr)</t>
  </si>
  <si>
    <t>Surplus / (Shortfall) vs target — on TOTAL capital funds, Tier 1 + Tier 2 (₹ Cr)</t>
  </si>
  <si>
    <t>(+) FY2026A opening capital shortfall vs target CRAR — one-off catch-up, on Tier 1 / equity (₹ Cr)</t>
  </si>
  <si>
    <t>7. EVIDENCE GRADE — how much weight each recommendation above actually carries</t>
  </si>
  <si>
    <t>Every recommendation is only as good as its inputs. This grades each one so the reader discounts them individually rather than uniformly.</t>
  </si>
  <si>
    <t>1. PRODUCT CAPITAL TILT — EVIDENCE: disclosed product AUM and 5 disclosed yields; RBI standardised risk weights behind the capital denominator; ILLUSTRATIVE cost of funds, opex and credit cost in the numerator. CONFIDENCE: LOW-MEDIUM — the RANKING is defensible, the percentages are not. VALIDATE WITH: product-level actual credit cost by vintage, fully-allocated acquisition and servicing cost, marginal cost of funds by tenor.</t>
  </si>
  <si>
    <t>2. BRANCH EXPANSION — EVIDENCE: disclosed FY2026 branch count and the 400 gold-loan branch build-out; every other input illustrative and identical across branches. CONFIDENCE: LOW — direction only; the analysis has no dispersion between branches by construction. VALIDATE WITH: branch-level MIS (revenue, opex, headcount, disbursement and delinquency by branch and cohort).</t>
  </si>
  <si>
    <t>3. COST REDUCTION — EVIDENCE: opex built bottom-up from disclosed headcount and branch drivers; cost per branch and per employee are illustrative. CONFIDENCE: MEDIUM — the COMPOSITION of cost growth is reliable (which lines grow fastest and why), the absolute levels less so. VALIDATE WITH: actual cost-centre data and cost per branch by format.</t>
  </si>
  <si>
    <t>4. RISKS — EVIDENCE: capital risk rests on RBI risk weights, disclosed capital and the disclosed ₹2,500 Cr QIP (MEDIUM-HIGH, and now decomposed on Regulatory Capital section 9). Credit risk rests on a management-guided glide with no expected-loss engine (LOW). Funding risk is structural and directional (MEDIUM). VALIDATE WITH: the Company's actual RWA disclosure, ECL staging and vintage loss curves, and a board mandate on annual issuance capacity.</t>
  </si>
  <si>
    <t>5. ROE LEVERS — EVIDENCE: scenario sensitivity on disclosed drivers. CONFIDENCE: MEDIUM — the ORDER of the levers is robust (credit cost, then mix, then cross-sell, then funding); the magnitudes inherit the same illustrative product economics as recommendation 1. VALIDATE WITH: as for recommendations 1 and 4.</t>
  </si>
  <si>
    <t>HOW TO PRESENT THIS WORKBOOK: defend the RANKINGS and the DIRECTION, not the decimal places. Where a number is illustrative, say so before being asked — the three findings worth leading with are (1) growth is capital-constrained, (2) product yield alone cannot allocate capital once regulatory capital consumption is counted, and (3) stress raises the external equity requirement even as the balance sheet shrinks.</t>
  </si>
  <si>
    <t>Answers below are derived from the data in this workbook (cell references shown), not restated financials — each recommendation cites the tab and figure that supports it. Section 7 grades how much evidence sits behind each one; read it before quoting any figure from this sheet.</t>
  </si>
  <si>
    <t>Capital Raised / (Returned) During the Year (₹ Cr, forecast only — DERIVED from the Regulatory Capital requirement, not a balancing figure)</t>
  </si>
  <si>
    <t>COST-TO-INCOME BRIDGE, FY2026A → FY2031E — where the improvement actually comes from</t>
  </si>
  <si>
    <t>Cost-to-Income, FY2026A</t>
  </si>
  <si>
    <t>Effect of INCOME SCALE alone — FY2026A opex held at FY2026A level against FY2031E net income (pp)</t>
  </si>
  <si>
    <t>Effect of OPEX GROWTH — cost base rising with the network and headcount (pp)</t>
  </si>
  <si>
    <t>= Cost-to-Income, FY2031E</t>
  </si>
  <si>
    <t>Check vs Profit &amp; Loss (must be zero)</t>
  </si>
  <si>
    <t>Cost-to-Income improvement built into the model (decomposed on Operating Cost Forecast rows 49-56 — it is income scale, not cost cutting):</t>
  </si>
  <si>
    <t>MEMO — which AUM is the denominator in row 7?</t>
  </si>
  <si>
    <t>C — PLANNING &amp; FORECASTING</t>
  </si>
  <si>
    <t>All editable forecast inputs, each with rationale and source</t>
  </si>
  <si>
    <t>Growth forecast — Average AUM × Yield</t>
  </si>
  <si>
    <t>Financing growth — borrowings and cost of funds</t>
  </si>
  <si>
    <t>Borrowing mix and liquidity position</t>
  </si>
  <si>
    <t>Risk outlook — GNPA/NNPA/PCR glide path</t>
  </si>
  <si>
    <t>Efficiency — cost lines on their own drivers</t>
  </si>
  <si>
    <t>RWA → CRAR → capital requirement</t>
  </si>
  <si>
    <t>Investment planning and net block roll-forward</t>
  </si>
  <si>
    <t>D — PERFORMANCE &amp; RISK MANAGEMENT</t>
  </si>
  <si>
    <t>Product mix &amp; capital allocation decisions</t>
  </si>
  <si>
    <t>Portfolio optimisation — RAROC by product</t>
  </si>
  <si>
    <t>Digital KPIs and cost flow-through</t>
  </si>
  <si>
    <t>Risk management — RAG status and heat map</t>
  </si>
  <si>
    <t>Strategic alternatives — Base / Upside / Downside</t>
  </si>
  <si>
    <t>E — EXECUTIVE DECISION SUPPORT</t>
  </si>
  <si>
    <t>Executive actions, each citing its supporting cell</t>
  </si>
  <si>
    <t>Benefits realisation — initiative, owner, impact</t>
  </si>
  <si>
    <t>Consolidated P&amp;L, actuals and forecast</t>
  </si>
  <si>
    <t>Consolidated Balance Sheet with ties-to-zero check</t>
  </si>
  <si>
    <t>Consolidated Cash Flow with reconciling memo</t>
  </si>
  <si>
    <t>Equity movements per annual report</t>
  </si>
  <si>
    <t>SECTION C — PLANNING &amp; FORECASTING</t>
  </si>
  <si>
    <t>SECTION D — PERFORMANCE &amp; RISK MANAGEMENT</t>
  </si>
  <si>
    <t>SECTION E — EXECUTIVE DECISION SUPPORT</t>
  </si>
  <si>
    <t>All macro and strategic forecast inputs, each with rationale and source — the single editable entry point for the forecast</t>
  </si>
  <si>
    <t>Cost lines forecast by category on their own drivers, feeding the cost-to-income ratio</t>
  </si>
  <si>
    <t>The other 27 tabs provide operating context, evidence and monitoring. If you only read nine, read these, in this order:</t>
  </si>
  <si>
    <t>A1</t>
  </si>
  <si>
    <t>A2</t>
  </si>
  <si>
    <t>A3</t>
  </si>
  <si>
    <t>A4</t>
  </si>
  <si>
    <t>A5</t>
  </si>
  <si>
    <t>B1</t>
  </si>
  <si>
    <t>B2</t>
  </si>
  <si>
    <t>B3</t>
  </si>
  <si>
    <t>B4</t>
  </si>
  <si>
    <t>C1</t>
  </si>
  <si>
    <t>C2</t>
  </si>
  <si>
    <t>C3</t>
  </si>
  <si>
    <t>C4</t>
  </si>
  <si>
    <t>C5</t>
  </si>
  <si>
    <t>C6</t>
  </si>
  <si>
    <t>C7</t>
  </si>
  <si>
    <t>C8</t>
  </si>
  <si>
    <t>D1</t>
  </si>
  <si>
    <t>D2</t>
  </si>
  <si>
    <t>D3</t>
  </si>
  <si>
    <t>D4</t>
  </si>
  <si>
    <t>D5</t>
  </si>
  <si>
    <t>D6</t>
  </si>
  <si>
    <t>D7</t>
  </si>
  <si>
    <t>E1</t>
  </si>
  <si>
    <t>E2</t>
  </si>
  <si>
    <t>F1</t>
  </si>
  <si>
    <t>F2</t>
  </si>
  <si>
    <t>F3</t>
  </si>
  <si>
    <t>F4</t>
  </si>
  <si>
    <t>SECTION / REF</t>
  </si>
  <si>
    <t>SHEET</t>
  </si>
  <si>
    <t>WHAT IT COVERS</t>
  </si>
  <si>
    <t>Ref</t>
  </si>
  <si>
    <t>Sector 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</si>
</sst>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0.00;\(#,##0.00\);&quot;-&quot;"/>
    <numFmt numFmtId="165" formatCode="0.0%"/>
    <numFmt numFmtId="166" formatCode="0.00;\(0.00\);&quot;-&quot;"/>
    <numFmt numFmtId="167" formatCode="0.00%;\(0.00%\);&quot;-&quot;"/>
    <numFmt numFmtId="168" formatCode="#,##0.0"/>
    <numFmt numFmtId="169" formatCode="0.00&quot;x&quot;"/>
    <numFmt numFmtId="170" formatCode="#,##0;\(#,##0\);&quot;-&quot;"/>
    <numFmt numFmtId="171" formatCode="0.00&quot;%&quot;;\(0.00&quot;%&quot;\);&quot;-&quot;"/>
    <numFmt numFmtId="172" formatCode="0.00&quot;%&quot;"/>
    <numFmt numFmtId="173" formatCode="0.0"/>
    <numFmt numFmtId="174" formatCode="0.0&quot;x&quot;"/>
    <numFmt numFmtId="175" formatCode="#,##0;\(#,##0\)"/>
    <numFmt numFmtId="176" formatCode="0.0%;\(0.0%\)"/>
  </numFmts>
  <fonts count="73" x14ac:knownFonts="1">
    <font>
      <sz val="11"/>
      <color theme="1"/>
      <name val="Calibri"/>
      <family val="2"/>
      <scheme val="minor"/>
    </font>
    <font>
      <b/>
      <sz val="11"/>
      <color theme="1"/>
      <name val="Calibri"/>
      <family val="2"/>
      <scheme val="minor"/>
    </font>
    <font>
      <i/>
      <sz val="11"/>
      <color theme="1"/>
      <name val="Calibri"/>
      <family val="2"/>
      <scheme val="minor"/>
    </font>
    <font>
      <i/>
      <sz val="9"/>
      <color theme="1"/>
      <name val="Calibri"/>
      <family val="2"/>
      <scheme val="minor"/>
    </font>
    <font>
      <i/>
      <sz val="9"/>
      <color rgb="FF666666"/>
      <name val="Calibri"/>
      <family val="2"/>
      <scheme val="minor"/>
    </font>
    <font>
      <i/>
      <sz val="8"/>
      <color rgb="FF888888"/>
      <name val="Calibri"/>
      <family val="2"/>
      <scheme val="minor"/>
    </font>
    <font>
      <b/>
      <sz val="11"/>
      <color rgb="FFFFFFFF"/>
      <name val="Calibri"/>
      <family val="2"/>
      <scheme val="minor"/>
    </font>
    <font>
      <b/>
      <i/>
      <sz val="11"/>
      <color theme="1"/>
      <name val="Calibri"/>
      <family val="2"/>
      <scheme val="minor"/>
    </font>
    <font>
      <sz val="11"/>
      <color rgb="FF0000FF"/>
      <name val="Calibri"/>
      <family val="2"/>
      <scheme val="minor"/>
    </font>
    <font>
      <sz val="9"/>
      <color rgb="FF888888"/>
      <name val="Calibri"/>
      <family val="2"/>
      <scheme val="minor"/>
    </font>
    <font>
      <sz val="9"/>
      <color indexed="81"/>
      <name val="Tahoma"/>
      <family val="2"/>
    </font>
    <font>
      <b/>
      <sz val="9"/>
      <color indexed="81"/>
      <name val="Tahoma"/>
      <family val="2"/>
    </font>
    <font>
      <sz val="11"/>
      <color rgb="FF008000"/>
      <name val="Calibri"/>
      <family val="2"/>
      <scheme val="minor"/>
    </font>
    <font>
      <b/>
      <sz val="11"/>
      <color rgb="FF008000"/>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9"/>
      <color rgb="FF666666"/>
      <name val="Calibri"/>
      <family val="2"/>
      <scheme val="minor"/>
    </font>
    <font>
      <sz val="16"/>
      <color rgb="FF888888"/>
      <name val="Calibri"/>
      <family val="2"/>
      <scheme val="minor"/>
    </font>
    <font>
      <i/>
      <sz val="11"/>
      <color rgb="FF888888"/>
      <name val="Calibri"/>
      <family val="2"/>
      <scheme val="minor"/>
    </font>
    <font>
      <i/>
      <sz val="11"/>
      <color rgb="FF666666"/>
      <name val="Calibri"/>
      <family val="2"/>
      <scheme val="minor"/>
    </font>
    <font>
      <i/>
      <sz val="11"/>
      <color rgb="FF008000"/>
      <name val="Calibri"/>
      <family val="2"/>
      <scheme val="minor"/>
    </font>
    <font>
      <b/>
      <sz val="11"/>
      <color rgb="FF0000FF"/>
      <name val="Calibri"/>
      <family val="2"/>
      <scheme val="minor"/>
    </font>
    <font>
      <i/>
      <sz val="9"/>
      <color rgb="FF008000"/>
      <name val="Calibri"/>
      <family val="2"/>
      <scheme val="minor"/>
    </font>
    <font>
      <i/>
      <sz val="9"/>
      <color rgb="FF888888"/>
      <name val="Calibri"/>
      <family val="2"/>
      <scheme val="minor"/>
    </font>
    <font>
      <b/>
      <i/>
      <sz val="11"/>
      <color rgb="FF666666"/>
      <name val="Calibri"/>
      <family val="2"/>
      <scheme val="minor"/>
    </font>
    <font>
      <b/>
      <sz val="13"/>
      <color rgb="FF0000FF"/>
      <name val="Calibri"/>
      <family val="2"/>
      <scheme val="minor"/>
    </font>
    <font>
      <sz val="11"/>
      <color rgb="FF000000"/>
      <name val="Calibri"/>
      <family val="2"/>
      <scheme val="minor"/>
    </font>
    <font>
      <b/>
      <sz val="11"/>
      <color rgb="FF000000"/>
      <name val="Calibri"/>
      <family val="2"/>
      <scheme val="minor"/>
    </font>
    <font>
      <b/>
      <i/>
      <sz val="11"/>
      <color rgb="FF000000"/>
      <name val="Calibri"/>
      <family val="2"/>
      <scheme val="minor"/>
    </font>
    <font>
      <sz val="9"/>
      <color rgb="FF000000"/>
      <name val="Calibri"/>
      <family val="2"/>
      <scheme val="minor"/>
    </font>
    <font>
      <b/>
      <sz val="11"/>
      <color rgb="FF1F1F1F"/>
      <name val="Calibri"/>
      <family val="2"/>
      <scheme val="minor"/>
    </font>
    <font>
      <i/>
      <sz val="9"/>
      <color rgb="FF808080"/>
      <name val="Calibri"/>
      <family val="2"/>
      <scheme val="minor"/>
    </font>
    <font>
      <sz val="9"/>
      <color rgb="FF404040"/>
      <name val="Calibri"/>
      <family val="2"/>
      <scheme val="minor"/>
    </font>
    <font>
      <i/>
      <sz val="10"/>
      <color rgb="FFFFFFFF"/>
      <name val="Calibri"/>
      <family val="2"/>
      <scheme val="minor"/>
    </font>
    <font>
      <b/>
      <sz val="16"/>
      <color rgb="FFFFFFFF"/>
      <name val="Calibri"/>
      <family val="2"/>
      <scheme val="minor"/>
    </font>
    <font>
      <sz val="14"/>
      <color theme="1"/>
      <name val="Calibri"/>
      <family val="2"/>
      <scheme val="minor"/>
    </font>
    <font>
      <b/>
      <sz val="10"/>
      <color theme="1"/>
      <name val="Calibri"/>
      <family val="2"/>
      <scheme val="minor"/>
    </font>
    <font>
      <b/>
      <sz val="15"/>
      <color rgb="FFFFFFFF"/>
      <name val="Calibri"/>
      <family val="2"/>
      <scheme val="minor"/>
    </font>
    <font>
      <sz val="12"/>
      <color theme="1"/>
      <name val="Calibri"/>
      <family val="2"/>
      <scheme val="minor"/>
    </font>
    <font>
      <sz val="12"/>
      <color rgb="FF548235"/>
      <name val="Calibri"/>
      <family val="2"/>
      <scheme val="minor"/>
    </font>
    <font>
      <b/>
      <sz val="13"/>
      <color rgb="FFFFFFFF"/>
      <name val="Calibri"/>
      <family val="2"/>
      <scheme val="minor"/>
    </font>
    <font>
      <i/>
      <sz val="9"/>
      <color rgb="FFFFFFFF"/>
      <name val="Calibri"/>
      <family val="2"/>
      <scheme val="minor"/>
    </font>
    <font>
      <i/>
      <sz val="11"/>
      <color rgb="FFFFFFFF"/>
      <name val="Calibri"/>
      <family val="2"/>
      <scheme val="minor"/>
    </font>
    <font>
      <b/>
      <sz val="9"/>
      <color rgb="FFFFFFFF"/>
      <name val="Calibri"/>
      <family val="2"/>
      <scheme val="minor"/>
    </font>
    <font>
      <sz val="10"/>
      <color rgb="FF404040"/>
      <name val="Calibri"/>
      <family val="2"/>
      <scheme val="minor"/>
    </font>
    <font>
      <b/>
      <sz val="9"/>
      <color rgb="FF404040"/>
      <name val="Calibri"/>
      <family val="2"/>
      <scheme val="minor"/>
    </font>
    <font>
      <u/>
      <sz val="11"/>
      <color rgb="FF0563C1"/>
      <name val="Calibri"/>
      <family val="2"/>
      <scheme val="minor"/>
    </font>
    <font>
      <b/>
      <u/>
      <sz val="11"/>
      <color rgb="FF0563C1"/>
      <name val="Calibri"/>
      <family val="2"/>
      <scheme val="minor"/>
    </font>
    <font>
      <sz val="11"/>
      <color rgb="FF808080"/>
      <name val="Calibri"/>
      <family val="2"/>
      <scheme val="minor"/>
    </font>
    <font>
      <b/>
      <i/>
      <sz val="9"/>
      <color rgb="FFFFFFFF"/>
      <name val="Calibri"/>
      <family val="2"/>
      <scheme val="minor"/>
    </font>
    <font>
      <b/>
      <sz val="44"/>
      <color rgb="FFFFFFFF"/>
      <name val="Calibri"/>
      <family val="2"/>
      <scheme val="minor"/>
    </font>
    <font>
      <b/>
      <sz val="20"/>
      <color rgb="FFC00000"/>
      <name val="Calibri"/>
      <family val="2"/>
      <scheme val="minor"/>
    </font>
    <font>
      <i/>
      <sz val="10"/>
      <color theme="1"/>
      <name val="Calibri"/>
      <family val="2"/>
      <scheme val="minor"/>
    </font>
    <font>
      <i/>
      <sz val="10"/>
      <color rgb="FF404040"/>
      <name val="Calibri"/>
      <family val="2"/>
      <scheme val="minor"/>
    </font>
    <font>
      <sz val="10"/>
      <color theme="1"/>
      <name val="Calibri"/>
      <family val="2"/>
      <scheme val="minor"/>
    </font>
    <font>
      <sz val="9"/>
      <color theme="1"/>
      <name val="Calibri"/>
      <family val="2"/>
      <scheme val="minor"/>
    </font>
    <font>
      <b/>
      <sz val="20"/>
      <color rgb="FF1F4E78"/>
      <name val="Calibri"/>
      <family val="2"/>
      <scheme val="minor"/>
    </font>
    <font>
      <b/>
      <sz val="20"/>
      <color rgb="FF548235"/>
      <name val="Calibri"/>
      <family val="2"/>
      <scheme val="minor"/>
    </font>
    <font>
      <b/>
      <sz val="20"/>
      <color rgb="FFC55A11"/>
      <name val="Calibri"/>
      <family val="2"/>
      <scheme val="minor"/>
    </font>
    <font>
      <b/>
      <sz val="20"/>
      <color rgb="FF7030A0"/>
      <name val="Calibri"/>
      <family val="2"/>
      <scheme val="minor"/>
    </font>
    <font>
      <b/>
      <sz val="20"/>
      <color rgb="FF404040"/>
      <name val="Calibri"/>
      <family val="2"/>
      <scheme val="minor"/>
    </font>
    <font>
      <b/>
      <sz val="14"/>
      <color rgb="FFFFFFFF"/>
      <name val="Calibri"/>
      <family val="2"/>
      <scheme val="minor"/>
    </font>
    <font>
      <i/>
      <sz val="9"/>
      <color rgb="FF404040"/>
      <name val="Calibri"/>
      <family val="2"/>
      <scheme val="minor"/>
    </font>
    <font>
      <b/>
      <sz val="10"/>
      <color rgb="FF000000"/>
      <name val="Calibri"/>
      <family val="2"/>
      <scheme val="minor"/>
    </font>
    <font>
      <sz val="10"/>
      <color rgb="FF000000"/>
      <name val="Calibri"/>
      <family val="2"/>
      <scheme val="minor"/>
    </font>
    <font>
      <b/>
      <sz val="11"/>
      <color rgb="FF0563C1"/>
      <name val="Calibri"/>
      <family val="2"/>
      <scheme val="minor"/>
    </font>
    <font>
      <b/>
      <i/>
      <sz val="10"/>
      <color theme="1"/>
      <name val="Calibri"/>
      <family val="2"/>
      <scheme val="minor"/>
    </font>
    <font>
      <sz val="10"/>
      <color rgb="FF808080"/>
      <name val="Calibri"/>
      <family val="2"/>
      <scheme val="minor"/>
    </font>
    <font>
      <b/>
      <sz val="10"/>
      <color rgb="FF595959"/>
      <name val="Calibri"/>
      <family val="2"/>
      <scheme val="minor"/>
    </font>
    <font>
      <sz val="11"/>
      <color rgb="FFFF0000"/>
      <name val="Calibri"/>
      <family val="2"/>
      <scheme val="minor"/>
    </font>
    <font>
      <i/>
      <sz val="9"/>
      <color theme="0"/>
      <name val="Calibri"/>
      <family val="2"/>
      <scheme val="minor"/>
    </font>
  </fonts>
  <fills count="20">
    <fill>
      <patternFill patternType="none"/>
    </fill>
    <fill>
      <patternFill patternType="gray125"/>
    </fill>
    <fill>
      <patternFill patternType="solid">
        <fgColor rgb="FF1F4E78"/>
        <bgColor indexed="64"/>
      </patternFill>
    </fill>
    <fill>
      <patternFill patternType="solid">
        <fgColor rgb="FFD9E1F2"/>
        <bgColor indexed="64"/>
      </patternFill>
    </fill>
    <fill>
      <patternFill patternType="solid">
        <fgColor rgb="FFFFFF00"/>
        <bgColor indexed="64"/>
      </patternFill>
    </fill>
    <fill>
      <patternFill patternType="solid">
        <fgColor rgb="FFC00000"/>
        <bgColor indexed="64"/>
      </patternFill>
    </fill>
    <fill>
      <patternFill patternType="solid">
        <fgColor rgb="FF375623"/>
        <bgColor indexed="64"/>
      </patternFill>
    </fill>
    <fill>
      <patternFill patternType="solid">
        <fgColor rgb="FF2E5E8C"/>
        <bgColor indexed="64"/>
      </patternFill>
    </fill>
    <fill>
      <patternFill patternType="solid">
        <fgColor rgb="FFF7FAFC"/>
        <bgColor indexed="64"/>
      </patternFill>
    </fill>
    <fill>
      <patternFill patternType="solid">
        <fgColor rgb="FFE97132"/>
        <bgColor indexed="64"/>
      </patternFill>
    </fill>
    <fill>
      <patternFill patternType="solid">
        <fgColor rgb="FFFFC000"/>
        <bgColor indexed="64"/>
      </patternFill>
    </fill>
    <fill>
      <patternFill patternType="solid">
        <fgColor rgb="FF1F9AA8"/>
        <bgColor indexed="64"/>
      </patternFill>
    </fill>
    <fill>
      <patternFill patternType="solid">
        <fgColor rgb="FF548235"/>
        <bgColor indexed="64"/>
      </patternFill>
    </fill>
    <fill>
      <patternFill patternType="solid">
        <fgColor rgb="FFFFC7CE"/>
        <bgColor indexed="64"/>
      </patternFill>
    </fill>
    <fill>
      <patternFill patternType="solid">
        <fgColor rgb="FFEAF1F8"/>
        <bgColor indexed="64"/>
      </patternFill>
    </fill>
    <fill>
      <patternFill patternType="solid">
        <fgColor rgb="FFC55A11"/>
        <bgColor indexed="64"/>
      </patternFill>
    </fill>
    <fill>
      <patternFill patternType="solid">
        <fgColor rgb="FF7030A0"/>
        <bgColor indexed="64"/>
      </patternFill>
    </fill>
    <fill>
      <patternFill patternType="solid">
        <fgColor rgb="FF404040"/>
        <bgColor indexed="64"/>
      </patternFill>
    </fill>
    <fill>
      <patternFill patternType="solid">
        <fgColor rgb="FFF2F2F2"/>
        <bgColor indexed="64"/>
      </patternFill>
    </fill>
    <fill>
      <patternFill patternType="solid">
        <fgColor rgb="FFFFF2CC"/>
        <bgColor indexed="64"/>
      </patternFill>
    </fill>
  </fills>
  <borders count="51">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rgb="FFD9E1F2"/>
      </top>
      <bottom style="thin">
        <color rgb="FFD9E1F2"/>
      </bottom>
      <diagonal/>
    </border>
    <border>
      <left/>
      <right/>
      <top/>
      <bottom style="thin">
        <color rgb="FFD9E1F2"/>
      </bottom>
      <diagonal/>
    </border>
    <border>
      <left style="thin">
        <color rgb="FFD9E1F2"/>
      </left>
      <right/>
      <top style="thin">
        <color rgb="FFD9E1F2"/>
      </top>
      <bottom style="thin">
        <color rgb="FFD9E1F2"/>
      </bottom>
      <diagonal/>
    </border>
    <border>
      <left style="thin">
        <color rgb="FFD9E1F2"/>
      </left>
      <right/>
      <top/>
      <bottom/>
      <diagonal/>
    </border>
    <border>
      <left style="thin">
        <color rgb="FFD9E1F2"/>
      </left>
      <right/>
      <top/>
      <bottom style="thin">
        <color rgb="FFD9E1F2"/>
      </bottom>
      <diagonal/>
    </border>
    <border>
      <left/>
      <right style="thin">
        <color rgb="FFD9E1F2"/>
      </right>
      <top/>
      <bottom/>
      <diagonal/>
    </border>
    <border>
      <left/>
      <right style="thin">
        <color rgb="FFD9E1F2"/>
      </right>
      <top/>
      <bottom style="thin">
        <color rgb="FFD9E1F2"/>
      </bottom>
      <diagonal/>
    </border>
    <border>
      <left style="thin">
        <color rgb="FFD9E1F2"/>
      </left>
      <right/>
      <top style="thick">
        <color rgb="FF1F9AA8"/>
      </top>
      <bottom/>
      <diagonal/>
    </border>
    <border>
      <left/>
      <right/>
      <top style="thick">
        <color rgb="FF1F9AA8"/>
      </top>
      <bottom/>
      <diagonal/>
    </border>
    <border>
      <left/>
      <right style="thin">
        <color rgb="FFD9E1F2"/>
      </right>
      <top style="thick">
        <color rgb="FF1F9AA8"/>
      </top>
      <bottom/>
      <diagonal/>
    </border>
    <border>
      <left/>
      <right/>
      <top style="thin">
        <color rgb="FFB7B7B7"/>
      </top>
      <bottom/>
      <diagonal/>
    </border>
    <border>
      <left/>
      <right/>
      <top/>
      <bottom style="thin">
        <color rgb="FFB7B7B7"/>
      </bottom>
      <diagonal/>
    </border>
    <border>
      <left style="thin">
        <color rgb="FFB7B7B7"/>
      </left>
      <right/>
      <top style="thin">
        <color rgb="FFB7B7B7"/>
      </top>
      <bottom/>
      <diagonal/>
    </border>
    <border>
      <left style="thin">
        <color rgb="FFB7B7B7"/>
      </left>
      <right/>
      <top/>
      <bottom/>
      <diagonal/>
    </border>
    <border>
      <left style="thin">
        <color rgb="FFB7B7B7"/>
      </left>
      <right/>
      <top/>
      <bottom style="thin">
        <color rgb="FFB7B7B7"/>
      </bottom>
      <diagonal/>
    </border>
    <border>
      <left/>
      <right style="thin">
        <color rgb="FFB7B7B7"/>
      </right>
      <top style="thin">
        <color rgb="FFB7B7B7"/>
      </top>
      <bottom/>
      <diagonal/>
    </border>
    <border>
      <left/>
      <right style="thin">
        <color rgb="FFB7B7B7"/>
      </right>
      <top/>
      <bottom/>
      <diagonal/>
    </border>
    <border>
      <left/>
      <right style="thin">
        <color rgb="FFB7B7B7"/>
      </right>
      <top style="thin">
        <color auto="1"/>
      </top>
      <bottom/>
      <diagonal/>
    </border>
    <border>
      <left/>
      <right style="thin">
        <color rgb="FFB7B7B7"/>
      </right>
      <top/>
      <bottom style="thin">
        <color rgb="FFB7B7B7"/>
      </bottom>
      <diagonal/>
    </border>
    <border>
      <left style="thin">
        <color rgb="FFB7B7B7"/>
      </left>
      <right/>
      <top/>
      <bottom style="medium">
        <color rgb="FF0D2A47"/>
      </bottom>
      <diagonal/>
    </border>
    <border>
      <left/>
      <right/>
      <top/>
      <bottom style="medium">
        <color rgb="FF0D2A47"/>
      </bottom>
      <diagonal/>
    </border>
    <border>
      <left/>
      <right style="thin">
        <color rgb="FFB7B7B7"/>
      </right>
      <top/>
      <bottom style="medium">
        <color rgb="FF0D2A47"/>
      </bottom>
      <diagonal/>
    </border>
    <border>
      <left/>
      <right style="thick">
        <color rgb="FF1F4E78"/>
      </right>
      <top style="thin">
        <color rgb="FFB7B7B7"/>
      </top>
      <bottom/>
      <diagonal/>
    </border>
    <border>
      <left/>
      <right style="thick">
        <color rgb="FF1F4E78"/>
      </right>
      <top/>
      <bottom/>
      <diagonal/>
    </border>
    <border>
      <left/>
      <right style="thick">
        <color rgb="FF1F4E78"/>
      </right>
      <top/>
      <bottom style="medium">
        <color rgb="FF0D2A47"/>
      </bottom>
      <diagonal/>
    </border>
    <border>
      <left/>
      <right style="thick">
        <color rgb="FF1F4E78"/>
      </right>
      <top/>
      <bottom style="thin">
        <color rgb="FFB7B7B7"/>
      </bottom>
      <diagonal/>
    </border>
    <border>
      <left/>
      <right style="thin">
        <color rgb="FFD9E1F2"/>
      </right>
      <top style="thin">
        <color rgb="FFD9E1F2"/>
      </top>
      <bottom style="thin">
        <color rgb="FFD9E1F2"/>
      </bottom>
      <diagonal/>
    </border>
    <border>
      <left style="thin">
        <color rgb="FFB7B7B7"/>
      </left>
      <right/>
      <top style="thin">
        <color indexed="64"/>
      </top>
      <bottom style="thin">
        <color indexed="64"/>
      </bottom>
      <diagonal/>
    </border>
    <border>
      <left style="thin">
        <color rgb="FFB7B7B7"/>
      </left>
      <right/>
      <top style="thick">
        <color rgb="FF1F9AA8"/>
      </top>
      <bottom/>
      <diagonal/>
    </border>
    <border>
      <left style="thin">
        <color rgb="FFB7B7B7"/>
      </left>
      <right/>
      <top/>
      <bottom style="thin">
        <color rgb="FFD9E1F2"/>
      </bottom>
      <diagonal/>
    </border>
    <border>
      <left/>
      <right style="thin">
        <color rgb="FFB7B7B7"/>
      </right>
      <top style="thin">
        <color auto="1"/>
      </top>
      <bottom style="thin">
        <color auto="1"/>
      </bottom>
      <diagonal/>
    </border>
    <border>
      <left style="thin">
        <color rgb="FFD9E1F2"/>
      </left>
      <right style="thin">
        <color rgb="FFD9E1F2"/>
      </right>
      <top style="thin">
        <color rgb="FFD9E1F2"/>
      </top>
      <bottom style="thin">
        <color rgb="FFD9E1F2"/>
      </bottom>
      <diagonal/>
    </border>
    <border>
      <left style="thin">
        <color auto="1"/>
      </left>
      <right style="thin">
        <color auto="1"/>
      </right>
      <top style="thin">
        <color auto="1"/>
      </top>
      <bottom style="thin">
        <color auto="1"/>
      </bottom>
      <diagonal/>
    </border>
    <border>
      <left style="thin">
        <color rgb="FFB7B7B7"/>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7B7B7"/>
      </left>
      <right/>
      <top style="thin">
        <color auto="1"/>
      </top>
      <bottom/>
      <diagonal/>
    </border>
    <border>
      <left style="thin">
        <color auto="1"/>
      </left>
      <right/>
      <top/>
      <bottom style="medium">
        <color rgb="FF0D2A47"/>
      </bottom>
      <diagonal/>
    </border>
    <border>
      <left style="thin">
        <color auto="1"/>
      </left>
      <right/>
      <top/>
      <bottom style="thin">
        <color rgb="FFB7B7B7"/>
      </bottom>
      <diagonal/>
    </border>
    <border>
      <left style="thin">
        <color auto="1"/>
      </left>
      <right style="thin">
        <color rgb="FFD9E1F2"/>
      </right>
      <top style="thin">
        <color rgb="FFD9E1F2"/>
      </top>
      <bottom style="thin">
        <color rgb="FFD9E1F2"/>
      </bottom>
      <diagonal/>
    </border>
    <border>
      <left style="thin">
        <color rgb="FFD9E1F2"/>
      </left>
      <right style="thin">
        <color auto="1"/>
      </right>
      <top style="thin">
        <color rgb="FFD9E1F2"/>
      </top>
      <bottom style="thin">
        <color rgb="FFD9E1F2"/>
      </bottom>
      <diagonal/>
    </border>
  </borders>
  <cellStyleXfs count="3">
    <xf numFmtId="0" fontId="0" fillId="0" borderId="0"/>
    <xf numFmtId="43" fontId="14" fillId="0" borderId="0" applyFont="0" applyFill="0" applyBorder="0" applyAlignment="0" applyProtection="0"/>
    <xf numFmtId="0" fontId="17" fillId="0" borderId="0" applyNumberFormat="0" applyFill="0" applyBorder="0" applyAlignment="0" applyProtection="0"/>
  </cellStyleXfs>
  <cellXfs count="732">
    <xf numFmtId="0" fontId="0" fillId="0" borderId="0" xfId="0"/>
    <xf numFmtId="0" fontId="1" fillId="3" borderId="0" xfId="0" applyFont="1" applyFill="1"/>
    <xf numFmtId="164" fontId="1" fillId="0" borderId="1" xfId="0" applyNumberFormat="1" applyFont="1" applyBorder="1"/>
    <xf numFmtId="0" fontId="0" fillId="0" borderId="0" xfId="0" applyAlignment="1">
      <alignment vertical="top" wrapText="1"/>
    </xf>
    <xf numFmtId="0" fontId="0" fillId="3" borderId="0" xfId="0" applyFill="1"/>
    <xf numFmtId="164" fontId="29" fillId="0" borderId="1" xfId="0" applyNumberFormat="1" applyFont="1" applyBorder="1"/>
    <xf numFmtId="0" fontId="15" fillId="0" borderId="0" xfId="0" applyFont="1"/>
    <xf numFmtId="0" fontId="16" fillId="0" borderId="0" xfId="0" applyFont="1"/>
    <xf numFmtId="0" fontId="0" fillId="8" borderId="8" xfId="0" applyFill="1" applyBorder="1"/>
    <xf numFmtId="0" fontId="0" fillId="8" borderId="10" xfId="0" applyFill="1" applyBorder="1"/>
    <xf numFmtId="0" fontId="0" fillId="0" borderId="1" xfId="0" applyBorder="1"/>
    <xf numFmtId="0" fontId="4" fillId="0" borderId="0" xfId="0" applyFont="1"/>
    <xf numFmtId="0" fontId="6" fillId="2" borderId="0" xfId="0" applyFont="1" applyFill="1" applyAlignment="1">
      <alignment horizontal="center"/>
    </xf>
    <xf numFmtId="164" fontId="1" fillId="3" borderId="0" xfId="0" applyNumberFormat="1" applyFont="1" applyFill="1"/>
    <xf numFmtId="164" fontId="7" fillId="0" borderId="0" xfId="0" applyNumberFormat="1" applyFont="1"/>
    <xf numFmtId="164" fontId="8" fillId="0" borderId="0" xfId="0" applyNumberFormat="1" applyFont="1"/>
    <xf numFmtId="164" fontId="28" fillId="0" borderId="0" xfId="0" applyNumberFormat="1" applyFont="1"/>
    <xf numFmtId="164" fontId="12" fillId="0" borderId="0" xfId="0" applyNumberFormat="1" applyFont="1"/>
    <xf numFmtId="164" fontId="30" fillId="0" borderId="0" xfId="0" applyNumberFormat="1" applyFont="1"/>
    <xf numFmtId="164" fontId="29" fillId="3" borderId="0" xfId="0" applyNumberFormat="1" applyFont="1" applyFill="1"/>
    <xf numFmtId="0" fontId="28" fillId="0" borderId="0" xfId="0" applyFont="1"/>
    <xf numFmtId="164" fontId="9" fillId="0" borderId="0" xfId="0" applyNumberFormat="1" applyFont="1"/>
    <xf numFmtId="164" fontId="31" fillId="0" borderId="0" xfId="0" applyNumberFormat="1" applyFont="1"/>
    <xf numFmtId="4" fontId="21" fillId="0" borderId="0" xfId="0" applyNumberFormat="1" applyFont="1"/>
    <xf numFmtId="0" fontId="0" fillId="0" borderId="16" xfId="0" applyBorder="1"/>
    <xf numFmtId="169" fontId="21" fillId="0" borderId="16" xfId="0" applyNumberFormat="1" applyFont="1" applyBorder="1"/>
    <xf numFmtId="0" fontId="0" fillId="0" borderId="18" xfId="0" applyBorder="1"/>
    <xf numFmtId="0" fontId="6" fillId="2" borderId="18" xfId="0" applyFont="1" applyFill="1" applyBorder="1"/>
    <xf numFmtId="0" fontId="1" fillId="3" borderId="18" xfId="0" applyFont="1" applyFill="1" applyBorder="1"/>
    <xf numFmtId="0" fontId="7" fillId="0" borderId="18" xfId="0" applyFont="1" applyBorder="1"/>
    <xf numFmtId="0" fontId="0" fillId="0" borderId="18" xfId="0" applyBorder="1" applyAlignment="1">
      <alignment indent="1"/>
    </xf>
    <xf numFmtId="0" fontId="1" fillId="0" borderId="18" xfId="0" applyFont="1" applyBorder="1"/>
    <xf numFmtId="0" fontId="3" fillId="0" borderId="18" xfId="0" applyFont="1" applyBorder="1"/>
    <xf numFmtId="0" fontId="4" fillId="0" borderId="18" xfId="0" applyFont="1" applyBorder="1"/>
    <xf numFmtId="0" fontId="4" fillId="0" borderId="19" xfId="0" applyFont="1" applyBorder="1"/>
    <xf numFmtId="0" fontId="0" fillId="0" borderId="21" xfId="0" applyBorder="1"/>
    <xf numFmtId="164" fontId="1" fillId="3" borderId="21" xfId="0" applyNumberFormat="1" applyFont="1" applyFill="1" applyBorder="1"/>
    <xf numFmtId="164" fontId="7" fillId="0" borderId="21" xfId="0" applyNumberFormat="1" applyFont="1" applyBorder="1"/>
    <xf numFmtId="164" fontId="28" fillId="0" borderId="21" xfId="0" applyNumberFormat="1" applyFont="1" applyBorder="1"/>
    <xf numFmtId="164" fontId="12" fillId="0" borderId="21" xfId="0" applyNumberFormat="1" applyFont="1" applyBorder="1"/>
    <xf numFmtId="164" fontId="29" fillId="0" borderId="22" xfId="0" applyNumberFormat="1" applyFont="1" applyBorder="1"/>
    <xf numFmtId="164" fontId="30" fillId="0" borderId="21" xfId="0" applyNumberFormat="1" applyFont="1" applyBorder="1"/>
    <xf numFmtId="164" fontId="29" fillId="3" borderId="21" xfId="0" applyNumberFormat="1" applyFont="1" applyFill="1" applyBorder="1"/>
    <xf numFmtId="0" fontId="28" fillId="0" borderId="21" xfId="0" applyFont="1" applyBorder="1"/>
    <xf numFmtId="164" fontId="31" fillId="0" borderId="21" xfId="0" applyNumberFormat="1" applyFont="1" applyBorder="1"/>
    <xf numFmtId="4" fontId="21" fillId="0" borderId="21" xfId="0" applyNumberFormat="1" applyFont="1" applyBorder="1"/>
    <xf numFmtId="169" fontId="21" fillId="0" borderId="23" xfId="0" applyNumberFormat="1" applyFont="1" applyBorder="1"/>
    <xf numFmtId="0" fontId="6" fillId="2" borderId="24" xfId="0" applyFont="1" applyFill="1" applyBorder="1"/>
    <xf numFmtId="0" fontId="6" fillId="2" borderId="25" xfId="0" applyFont="1" applyFill="1" applyBorder="1" applyAlignment="1">
      <alignment horizontal="center"/>
    </xf>
    <xf numFmtId="0" fontId="6" fillId="6" borderId="25" xfId="0" applyFont="1" applyFill="1" applyBorder="1" applyAlignment="1">
      <alignment horizontal="center"/>
    </xf>
    <xf numFmtId="0" fontId="6" fillId="6" borderId="26" xfId="0" applyFont="1" applyFill="1" applyBorder="1" applyAlignment="1">
      <alignment horizontal="center"/>
    </xf>
    <xf numFmtId="164" fontId="8" fillId="4" borderId="0" xfId="0" applyNumberFormat="1" applyFont="1" applyFill="1"/>
    <xf numFmtId="164" fontId="8" fillId="0" borderId="16" xfId="0" applyNumberFormat="1" applyFont="1" applyBorder="1"/>
    <xf numFmtId="164" fontId="28" fillId="0" borderId="16" xfId="0" applyNumberFormat="1" applyFont="1" applyBorder="1"/>
    <xf numFmtId="0" fontId="0" fillId="0" borderId="19" xfId="0" applyBorder="1" applyAlignment="1">
      <alignment indent="1"/>
    </xf>
    <xf numFmtId="164" fontId="8" fillId="4" borderId="21" xfId="0" applyNumberFormat="1" applyFont="1" applyFill="1" applyBorder="1"/>
    <xf numFmtId="164" fontId="28" fillId="0" borderId="23" xfId="0" applyNumberFormat="1" applyFont="1" applyBorder="1"/>
    <xf numFmtId="164" fontId="20" fillId="0" borderId="16" xfId="0" applyNumberFormat="1" applyFont="1" applyBorder="1"/>
    <xf numFmtId="0" fontId="25" fillId="0" borderId="19" xfId="0" applyFont="1" applyBorder="1" applyAlignment="1">
      <alignment indent="1"/>
    </xf>
    <xf numFmtId="164" fontId="20" fillId="0" borderId="23" xfId="0" applyNumberFormat="1" applyFont="1" applyBorder="1"/>
    <xf numFmtId="0" fontId="6" fillId="2" borderId="21" xfId="0" applyFont="1" applyFill="1" applyBorder="1" applyAlignment="1">
      <alignment horizontal="center"/>
    </xf>
    <xf numFmtId="164" fontId="8" fillId="0" borderId="21" xfId="0" applyNumberFormat="1" applyFont="1" applyBorder="1"/>
    <xf numFmtId="164" fontId="1" fillId="0" borderId="22" xfId="0" applyNumberFormat="1" applyFont="1" applyBorder="1"/>
    <xf numFmtId="164" fontId="8" fillId="0" borderId="23" xfId="0" applyNumberFormat="1" applyFont="1" applyBorder="1"/>
    <xf numFmtId="0" fontId="6" fillId="2" borderId="26" xfId="0" applyFont="1" applyFill="1" applyBorder="1" applyAlignment="1">
      <alignment horizontal="center"/>
    </xf>
    <xf numFmtId="164" fontId="0" fillId="0" borderId="0" xfId="0" applyNumberFormat="1"/>
    <xf numFmtId="165" fontId="0" fillId="0" borderId="0" xfId="0" applyNumberFormat="1"/>
    <xf numFmtId="166" fontId="0" fillId="0" borderId="0" xfId="0" applyNumberFormat="1"/>
    <xf numFmtId="166" fontId="0" fillId="0" borderId="16" xfId="0" applyNumberFormat="1" applyBorder="1"/>
    <xf numFmtId="166" fontId="8" fillId="0" borderId="16" xfId="0" applyNumberFormat="1" applyFont="1" applyBorder="1"/>
    <xf numFmtId="0" fontId="0" fillId="0" borderId="19" xfId="0" applyBorder="1"/>
    <xf numFmtId="165" fontId="0" fillId="0" borderId="21" xfId="0" applyNumberFormat="1" applyBorder="1"/>
    <xf numFmtId="164" fontId="0" fillId="0" borderId="21" xfId="0" applyNumberFormat="1" applyBorder="1"/>
    <xf numFmtId="166" fontId="8" fillId="0" borderId="21" xfId="0" applyNumberFormat="1" applyFont="1" applyBorder="1"/>
    <xf numFmtId="166" fontId="0" fillId="0" borderId="21" xfId="0" applyNumberFormat="1" applyBorder="1"/>
    <xf numFmtId="166" fontId="8" fillId="0" borderId="23" xfId="0" applyNumberFormat="1" applyFont="1" applyBorder="1"/>
    <xf numFmtId="167" fontId="0" fillId="0" borderId="0" xfId="0" applyNumberFormat="1"/>
    <xf numFmtId="0" fontId="0" fillId="0" borderId="0" xfId="0" applyAlignment="1">
      <alignment wrapText="1"/>
    </xf>
    <xf numFmtId="167" fontId="1" fillId="0" borderId="0" xfId="0" applyNumberFormat="1" applyFont="1"/>
    <xf numFmtId="164" fontId="1" fillId="0" borderId="0" xfId="0" applyNumberFormat="1" applyFont="1"/>
    <xf numFmtId="0" fontId="0" fillId="0" borderId="16" xfId="0" applyBorder="1" applyAlignment="1">
      <alignment wrapText="1"/>
    </xf>
    <xf numFmtId="0" fontId="0" fillId="3" borderId="21" xfId="0" applyFill="1" applyBorder="1"/>
    <xf numFmtId="167" fontId="0" fillId="0" borderId="21" xfId="0" applyNumberFormat="1" applyBorder="1"/>
    <xf numFmtId="0" fontId="0" fillId="0" borderId="21" xfId="0" applyBorder="1" applyAlignment="1">
      <alignment wrapText="1"/>
    </xf>
    <xf numFmtId="170" fontId="8" fillId="0" borderId="21" xfId="0" applyNumberFormat="1" applyFont="1" applyBorder="1"/>
    <xf numFmtId="167" fontId="1" fillId="0" borderId="21" xfId="0" applyNumberFormat="1" applyFont="1" applyBorder="1"/>
    <xf numFmtId="169" fontId="0" fillId="0" borderId="21" xfId="0" applyNumberFormat="1" applyBorder="1"/>
    <xf numFmtId="164" fontId="1" fillId="0" borderId="21" xfId="0" applyNumberFormat="1" applyFont="1" applyBorder="1"/>
    <xf numFmtId="0" fontId="0" fillId="0" borderId="23" xfId="0" applyBorder="1" applyAlignment="1">
      <alignment wrapText="1"/>
    </xf>
    <xf numFmtId="10" fontId="0" fillId="0" borderId="0" xfId="0" applyNumberFormat="1"/>
    <xf numFmtId="3" fontId="8" fillId="4" borderId="0" xfId="0" applyNumberFormat="1" applyFont="1" applyFill="1"/>
    <xf numFmtId="0" fontId="8" fillId="4" borderId="0" xfId="0" applyFont="1" applyFill="1"/>
    <xf numFmtId="0" fontId="12" fillId="0" borderId="16" xfId="0" applyFont="1" applyBorder="1"/>
    <xf numFmtId="0" fontId="0" fillId="0" borderId="21" xfId="0" applyBorder="1" applyAlignment="1">
      <alignment vertical="top" wrapText="1"/>
    </xf>
    <xf numFmtId="0" fontId="18" fillId="0" borderId="21" xfId="0" applyFont="1" applyBorder="1" applyAlignment="1">
      <alignment vertical="top" wrapText="1"/>
    </xf>
    <xf numFmtId="0" fontId="18" fillId="0" borderId="23" xfId="0" applyFont="1" applyBorder="1" applyAlignment="1">
      <alignment vertical="top" wrapText="1"/>
    </xf>
    <xf numFmtId="0" fontId="0" fillId="0" borderId="25" xfId="0" applyBorder="1"/>
    <xf numFmtId="0" fontId="6" fillId="2" borderId="26" xfId="0" applyFont="1" applyFill="1" applyBorder="1" applyAlignment="1">
      <alignment horizontal="center" vertical="top" wrapText="1"/>
    </xf>
    <xf numFmtId="165" fontId="8" fillId="4" borderId="0" xfId="0" applyNumberFormat="1" applyFont="1" applyFill="1"/>
    <xf numFmtId="3" fontId="0" fillId="0" borderId="0" xfId="0" applyNumberFormat="1"/>
    <xf numFmtId="3" fontId="1" fillId="0" borderId="0" xfId="0" applyNumberFormat="1" applyFont="1"/>
    <xf numFmtId="2" fontId="0" fillId="0" borderId="0" xfId="0" applyNumberFormat="1"/>
    <xf numFmtId="164" fontId="0" fillId="0" borderId="16" xfId="0" applyNumberFormat="1" applyBorder="1"/>
    <xf numFmtId="0" fontId="0" fillId="0" borderId="23" xfId="0" applyBorder="1" applyAlignment="1">
      <alignment vertical="top" wrapText="1"/>
    </xf>
    <xf numFmtId="164" fontId="13" fillId="0" borderId="16" xfId="0" applyNumberFormat="1" applyFont="1" applyBorder="1"/>
    <xf numFmtId="164" fontId="1" fillId="0" borderId="16" xfId="0" applyNumberFormat="1" applyFont="1" applyBorder="1"/>
    <xf numFmtId="0" fontId="1" fillId="0" borderId="19" xfId="0" applyFont="1" applyBorder="1"/>
    <xf numFmtId="164" fontId="22" fillId="0" borderId="16" xfId="0" applyNumberFormat="1" applyFont="1" applyBorder="1"/>
    <xf numFmtId="164" fontId="24" fillId="0" borderId="16" xfId="0" applyNumberFormat="1" applyFont="1" applyBorder="1"/>
    <xf numFmtId="0" fontId="0" fillId="0" borderId="23" xfId="0" applyBorder="1"/>
    <xf numFmtId="0" fontId="6" fillId="6" borderId="26" xfId="0" applyFont="1" applyFill="1" applyBorder="1" applyAlignment="1">
      <alignment horizontal="center" vertical="top" wrapText="1"/>
    </xf>
    <xf numFmtId="10" fontId="23" fillId="0" borderId="16" xfId="0" applyNumberFormat="1" applyFont="1" applyBorder="1"/>
    <xf numFmtId="0" fontId="6" fillId="5" borderId="25" xfId="0" applyFont="1" applyFill="1" applyBorder="1" applyAlignment="1">
      <alignment horizontal="center"/>
    </xf>
    <xf numFmtId="0" fontId="8" fillId="0" borderId="0" xfId="0" applyFont="1"/>
    <xf numFmtId="0" fontId="0" fillId="0" borderId="18" xfId="0" applyBorder="1" applyAlignment="1">
      <alignment wrapText="1"/>
    </xf>
    <xf numFmtId="0" fontId="26" fillId="3" borderId="18" xfId="0" applyFont="1" applyFill="1" applyBorder="1"/>
    <xf numFmtId="0" fontId="0" fillId="0" borderId="19" xfId="0" applyBorder="1" applyAlignment="1">
      <alignment wrapText="1"/>
    </xf>
    <xf numFmtId="165" fontId="1" fillId="0" borderId="16" xfId="0" applyNumberFormat="1" applyFont="1" applyBorder="1"/>
    <xf numFmtId="165" fontId="0" fillId="0" borderId="16" xfId="0" applyNumberFormat="1" applyBorder="1"/>
    <xf numFmtId="165" fontId="1" fillId="0" borderId="23" xfId="0" applyNumberFormat="1" applyFont="1" applyBorder="1"/>
    <xf numFmtId="3" fontId="8" fillId="4" borderId="21" xfId="0" applyNumberFormat="1" applyFont="1" applyFill="1" applyBorder="1"/>
    <xf numFmtId="165" fontId="8" fillId="4" borderId="21" xfId="0" applyNumberFormat="1" applyFont="1" applyFill="1" applyBorder="1"/>
    <xf numFmtId="164" fontId="1" fillId="0" borderId="23" xfId="0" applyNumberFormat="1" applyFont="1" applyBorder="1"/>
    <xf numFmtId="168" fontId="8" fillId="4" borderId="0" xfId="0" applyNumberFormat="1" applyFont="1" applyFill="1"/>
    <xf numFmtId="168" fontId="0" fillId="0" borderId="0" xfId="0" applyNumberFormat="1"/>
    <xf numFmtId="3" fontId="0" fillId="0" borderId="16" xfId="0" applyNumberFormat="1" applyBorder="1"/>
    <xf numFmtId="168" fontId="8" fillId="4" borderId="21" xfId="0" applyNumberFormat="1" applyFont="1" applyFill="1" applyBorder="1"/>
    <xf numFmtId="168" fontId="0" fillId="0" borderId="21" xfId="0" applyNumberFormat="1" applyBorder="1"/>
    <xf numFmtId="3" fontId="0" fillId="0" borderId="23" xfId="0" applyNumberFormat="1" applyBorder="1"/>
    <xf numFmtId="0" fontId="0" fillId="0" borderId="18" xfId="0" applyBorder="1" applyAlignment="1">
      <alignment vertical="top" wrapText="1"/>
    </xf>
    <xf numFmtId="0" fontId="6" fillId="2" borderId="24" xfId="0" applyFont="1" applyFill="1" applyBorder="1" applyAlignment="1">
      <alignment vertical="center" wrapText="1"/>
    </xf>
    <xf numFmtId="0" fontId="6" fillId="2" borderId="2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25" xfId="0" applyFont="1" applyFill="1" applyBorder="1" applyAlignment="1">
      <alignment vertical="center" wrapText="1"/>
    </xf>
    <xf numFmtId="165" fontId="29" fillId="0" borderId="16" xfId="0" applyNumberFormat="1" applyFont="1" applyBorder="1"/>
    <xf numFmtId="164" fontId="29" fillId="0" borderId="16" xfId="0" applyNumberFormat="1" applyFont="1" applyBorder="1"/>
    <xf numFmtId="167" fontId="21" fillId="0" borderId="16" xfId="0" applyNumberFormat="1" applyFont="1" applyBorder="1"/>
    <xf numFmtId="49" fontId="8" fillId="0" borderId="16" xfId="0" applyNumberFormat="1" applyFont="1" applyBorder="1"/>
    <xf numFmtId="167" fontId="8" fillId="4" borderId="21" xfId="0" applyNumberFormat="1" applyFont="1" applyFill="1" applyBorder="1"/>
    <xf numFmtId="0" fontId="8" fillId="4" borderId="21" xfId="0" applyFont="1" applyFill="1" applyBorder="1"/>
    <xf numFmtId="170" fontId="28" fillId="0" borderId="21" xfId="0" applyNumberFormat="1" applyFont="1" applyBorder="1"/>
    <xf numFmtId="0" fontId="1" fillId="3" borderId="18" xfId="0" applyFont="1" applyFill="1" applyBorder="1" applyAlignment="1">
      <alignment wrapText="1"/>
    </xf>
    <xf numFmtId="0" fontId="1" fillId="0" borderId="18" xfId="0" applyFont="1" applyBorder="1" applyAlignment="1">
      <alignment wrapText="1"/>
    </xf>
    <xf numFmtId="0" fontId="1" fillId="3" borderId="18" xfId="0" applyFont="1" applyFill="1" applyBorder="1" applyAlignment="1">
      <alignment vertical="top" wrapText="1"/>
    </xf>
    <xf numFmtId="0" fontId="20" fillId="0" borderId="18" xfId="0" applyFont="1" applyBorder="1" applyAlignment="1">
      <alignment vertical="top" wrapText="1"/>
    </xf>
    <xf numFmtId="0" fontId="1" fillId="0" borderId="18" xfId="0" applyFont="1" applyBorder="1" applyAlignment="1">
      <alignment vertical="top" wrapText="1"/>
    </xf>
    <xf numFmtId="0" fontId="20" fillId="0" borderId="19" xfId="0" applyFont="1" applyBorder="1" applyAlignment="1">
      <alignment vertical="top" wrapText="1"/>
    </xf>
    <xf numFmtId="0" fontId="7" fillId="0" borderId="18" xfId="0" applyFont="1" applyBorder="1" applyAlignment="1">
      <alignment vertical="top" wrapText="1"/>
    </xf>
    <xf numFmtId="0" fontId="0" fillId="0" borderId="19" xfId="0" applyBorder="1" applyAlignment="1">
      <alignment vertical="top" wrapText="1"/>
    </xf>
    <xf numFmtId="0" fontId="21" fillId="0" borderId="18" xfId="0" applyFont="1" applyBorder="1" applyAlignment="1">
      <alignment vertical="top" wrapText="1"/>
    </xf>
    <xf numFmtId="0" fontId="21" fillId="0" borderId="19" xfId="0" applyFont="1" applyBorder="1" applyAlignment="1">
      <alignment vertical="top" wrapText="1"/>
    </xf>
    <xf numFmtId="0" fontId="0" fillId="0" borderId="28" xfId="0" applyBorder="1"/>
    <xf numFmtId="0" fontId="6" fillId="2" borderId="29" xfId="0" applyFont="1" applyFill="1" applyBorder="1" applyAlignment="1">
      <alignment horizontal="center"/>
    </xf>
    <xf numFmtId="0" fontId="0" fillId="3" borderId="28" xfId="0" applyFill="1" applyBorder="1"/>
    <xf numFmtId="167" fontId="0" fillId="0" borderId="28" xfId="0" applyNumberFormat="1" applyBorder="1"/>
    <xf numFmtId="166" fontId="0" fillId="0" borderId="28" xfId="0" applyNumberFormat="1" applyBorder="1"/>
    <xf numFmtId="0" fontId="0" fillId="0" borderId="28" xfId="0" applyBorder="1" applyAlignment="1">
      <alignment wrapText="1"/>
    </xf>
    <xf numFmtId="170" fontId="8" fillId="0" borderId="28" xfId="0" applyNumberFormat="1" applyFont="1" applyBorder="1"/>
    <xf numFmtId="164" fontId="0" fillId="0" borderId="28" xfId="0" applyNumberFormat="1" applyBorder="1"/>
    <xf numFmtId="167" fontId="1" fillId="0" borderId="28" xfId="0" applyNumberFormat="1" applyFont="1" applyBorder="1"/>
    <xf numFmtId="167" fontId="8" fillId="0" borderId="28" xfId="0" applyNumberFormat="1" applyFont="1" applyBorder="1"/>
    <xf numFmtId="169" fontId="0" fillId="0" borderId="28" xfId="0" applyNumberFormat="1" applyBorder="1"/>
    <xf numFmtId="166" fontId="8" fillId="0" borderId="28" xfId="0" applyNumberFormat="1" applyFont="1" applyBorder="1"/>
    <xf numFmtId="164" fontId="1" fillId="0" borderId="28" xfId="0" applyNumberFormat="1" applyFont="1" applyBorder="1"/>
    <xf numFmtId="0" fontId="0" fillId="0" borderId="30" xfId="0" applyBorder="1" applyAlignment="1">
      <alignment wrapText="1"/>
    </xf>
    <xf numFmtId="170" fontId="28" fillId="0" borderId="28" xfId="0" applyNumberFormat="1" applyFont="1" applyBorder="1"/>
    <xf numFmtId="0" fontId="0" fillId="0" borderId="30" xfId="0" applyBorder="1"/>
    <xf numFmtId="0" fontId="6" fillId="2" borderId="24" xfId="0" applyFont="1" applyFill="1" applyBorder="1" applyAlignment="1">
      <alignment vertical="top" wrapText="1"/>
    </xf>
    <xf numFmtId="0" fontId="2" fillId="0" borderId="18" xfId="0" applyFont="1" applyBorder="1" applyAlignment="1">
      <alignment vertical="top" wrapText="1"/>
    </xf>
    <xf numFmtId="0" fontId="28" fillId="0" borderId="18" xfId="0" applyFont="1" applyBorder="1" applyAlignment="1">
      <alignment vertical="top" wrapText="1"/>
    </xf>
    <xf numFmtId="0" fontId="28" fillId="0" borderId="19" xfId="0" applyFont="1" applyBorder="1" applyAlignment="1">
      <alignment vertical="top" wrapText="1"/>
    </xf>
    <xf numFmtId="166" fontId="12" fillId="0" borderId="16" xfId="0" applyNumberFormat="1" applyFont="1" applyBorder="1"/>
    <xf numFmtId="0" fontId="1" fillId="0" borderId="0" xfId="0" applyFont="1" applyAlignment="1">
      <alignment horizontal="center"/>
    </xf>
    <xf numFmtId="3" fontId="0" fillId="0" borderId="0" xfId="0" applyNumberFormat="1" applyAlignment="1">
      <alignment horizontal="center"/>
    </xf>
    <xf numFmtId="3" fontId="1" fillId="0" borderId="16" xfId="0" applyNumberFormat="1" applyFont="1" applyBorder="1" applyAlignment="1">
      <alignment horizontal="center"/>
    </xf>
    <xf numFmtId="0" fontId="6" fillId="2" borderId="18" xfId="0" applyFont="1" applyFill="1" applyBorder="1" applyAlignment="1">
      <alignment horizontal="center"/>
    </xf>
    <xf numFmtId="0" fontId="1" fillId="0" borderId="18" xfId="0" applyFont="1" applyBorder="1" applyAlignment="1">
      <alignment horizontal="center"/>
    </xf>
    <xf numFmtId="0" fontId="6" fillId="11" borderId="18" xfId="0" applyFont="1" applyFill="1" applyBorder="1" applyAlignment="1">
      <alignment horizontal="center"/>
    </xf>
    <xf numFmtId="0" fontId="1" fillId="0" borderId="19" xfId="0" applyFont="1" applyBorder="1" applyAlignment="1">
      <alignment horizontal="center"/>
    </xf>
    <xf numFmtId="0" fontId="6" fillId="2" borderId="0" xfId="0" applyFont="1" applyFill="1" applyAlignment="1">
      <alignment horizontal="center" wrapText="1"/>
    </xf>
    <xf numFmtId="0" fontId="37" fillId="0" borderId="0" xfId="0" applyFont="1" applyAlignment="1">
      <alignment horizontal="center"/>
    </xf>
    <xf numFmtId="172" fontId="0" fillId="0" borderId="0" xfId="0" applyNumberFormat="1"/>
    <xf numFmtId="0" fontId="0" fillId="0" borderId="0" xfId="0" applyAlignment="1">
      <alignment horizontal="center"/>
    </xf>
    <xf numFmtId="0" fontId="40" fillId="0" borderId="0" xfId="0" applyFont="1" applyAlignment="1">
      <alignment horizontal="center"/>
    </xf>
    <xf numFmtId="0" fontId="41" fillId="0" borderId="0" xfId="0" applyFont="1" applyAlignment="1">
      <alignment horizontal="center"/>
    </xf>
    <xf numFmtId="49" fontId="0" fillId="0" borderId="0" xfId="0" applyNumberFormat="1" applyAlignment="1">
      <alignment horizontal="center"/>
    </xf>
    <xf numFmtId="0" fontId="21" fillId="0" borderId="0" xfId="0" applyFont="1" applyAlignment="1">
      <alignment vertical="center"/>
    </xf>
    <xf numFmtId="0" fontId="6" fillId="2" borderId="18" xfId="0" applyFont="1" applyFill="1" applyBorder="1" applyAlignment="1">
      <alignment horizontal="center" wrapText="1"/>
    </xf>
    <xf numFmtId="0" fontId="0" fillId="0" borderId="18" xfId="0" applyBorder="1" applyAlignment="1">
      <alignment horizontal="center"/>
    </xf>
    <xf numFmtId="0" fontId="6" fillId="12" borderId="18" xfId="0" applyFont="1" applyFill="1" applyBorder="1" applyAlignment="1">
      <alignment horizontal="center"/>
    </xf>
    <xf numFmtId="0" fontId="6" fillId="6" borderId="18" xfId="0" applyFont="1" applyFill="1" applyBorder="1" applyAlignment="1">
      <alignment horizontal="center"/>
    </xf>
    <xf numFmtId="0" fontId="6" fillId="2" borderId="19" xfId="0" applyFont="1" applyFill="1" applyBorder="1" applyAlignment="1">
      <alignment horizontal="center"/>
    </xf>
    <xf numFmtId="0" fontId="6" fillId="2" borderId="21" xfId="0" applyFont="1" applyFill="1" applyBorder="1" applyAlignment="1">
      <alignment horizontal="center" wrapText="1"/>
    </xf>
    <xf numFmtId="0" fontId="1" fillId="0" borderId="21" xfId="0" applyFont="1" applyBorder="1" applyAlignment="1">
      <alignment horizontal="center"/>
    </xf>
    <xf numFmtId="0" fontId="0" fillId="0" borderId="21" xfId="0" applyBorder="1" applyAlignment="1">
      <alignment horizontal="center"/>
    </xf>
    <xf numFmtId="0" fontId="42" fillId="2" borderId="15" xfId="0" applyFont="1" applyFill="1" applyBorder="1" applyAlignment="1">
      <alignment vertical="center"/>
    </xf>
    <xf numFmtId="0" fontId="42" fillId="2" borderId="20" xfId="0" applyFont="1" applyFill="1" applyBorder="1" applyAlignment="1">
      <alignment vertical="center"/>
    </xf>
    <xf numFmtId="0" fontId="5" fillId="0" borderId="18" xfId="0" applyFont="1" applyBorder="1" applyAlignment="1">
      <alignment vertical="center" wrapText="1"/>
    </xf>
    <xf numFmtId="0" fontId="44" fillId="7" borderId="0" xfId="0" applyFont="1" applyFill="1" applyAlignment="1">
      <alignment vertical="center"/>
    </xf>
    <xf numFmtId="0" fontId="44" fillId="7" borderId="21" xfId="0" applyFont="1" applyFill="1" applyBorder="1" applyAlignment="1">
      <alignment vertical="center"/>
    </xf>
    <xf numFmtId="0" fontId="34" fillId="8" borderId="16" xfId="0" applyFont="1" applyFill="1" applyBorder="1" applyAlignment="1">
      <alignment horizontal="center" vertical="top" wrapText="1" indent="1"/>
    </xf>
    <xf numFmtId="0" fontId="0" fillId="0" borderId="16" xfId="0" applyBorder="1" applyAlignment="1">
      <alignment horizontal="center"/>
    </xf>
    <xf numFmtId="0" fontId="34" fillId="8" borderId="18" xfId="0" applyFont="1" applyFill="1" applyBorder="1" applyAlignment="1">
      <alignment horizontal="left" vertical="top" wrapText="1" indent="1"/>
    </xf>
    <xf numFmtId="0" fontId="45" fillId="2" borderId="18" xfId="0" applyFont="1" applyFill="1" applyBorder="1" applyAlignment="1">
      <alignment horizontal="center" vertical="top" wrapText="1" indent="1"/>
    </xf>
    <xf numFmtId="0" fontId="34" fillId="8" borderId="19" xfId="0" applyFont="1" applyFill="1" applyBorder="1" applyAlignment="1">
      <alignment horizontal="left" vertical="top" wrapText="1" indent="1"/>
    </xf>
    <xf numFmtId="166" fontId="28" fillId="0" borderId="21" xfId="0" applyNumberFormat="1" applyFont="1" applyBorder="1"/>
    <xf numFmtId="0" fontId="0" fillId="3" borderId="21" xfId="0" applyFill="1" applyBorder="1" applyAlignment="1">
      <alignment vertical="top" wrapText="1"/>
    </xf>
    <xf numFmtId="43" fontId="8" fillId="4" borderId="0" xfId="1" applyFont="1" applyFill="1" applyBorder="1"/>
    <xf numFmtId="0" fontId="1" fillId="3" borderId="21" xfId="0" applyFont="1" applyFill="1" applyBorder="1"/>
    <xf numFmtId="0" fontId="21" fillId="0" borderId="18" xfId="0" applyFont="1" applyBorder="1" applyAlignment="1">
      <alignment wrapText="1"/>
    </xf>
    <xf numFmtId="0" fontId="21" fillId="0" borderId="21" xfId="0" applyFont="1" applyBorder="1" applyAlignment="1">
      <alignment wrapText="1"/>
    </xf>
    <xf numFmtId="0" fontId="1" fillId="0" borderId="0" xfId="0" applyFont="1"/>
    <xf numFmtId="0" fontId="1" fillId="0" borderId="21" xfId="0" applyFont="1" applyBorder="1"/>
    <xf numFmtId="0" fontId="1" fillId="0" borderId="32" xfId="0" applyFont="1" applyBorder="1"/>
    <xf numFmtId="0" fontId="1" fillId="0" borderId="32" xfId="0" applyFont="1" applyBorder="1" applyAlignment="1">
      <alignment horizontal="center"/>
    </xf>
    <xf numFmtId="0" fontId="1" fillId="0" borderId="2" xfId="0" applyFont="1" applyBorder="1" applyAlignment="1">
      <alignment horizontal="center"/>
    </xf>
    <xf numFmtId="164" fontId="13" fillId="0" borderId="2" xfId="0" applyNumberFormat="1" applyFont="1" applyBorder="1"/>
    <xf numFmtId="164" fontId="1" fillId="0" borderId="2" xfId="0" applyNumberFormat="1" applyFont="1" applyBorder="1"/>
    <xf numFmtId="0" fontId="43" fillId="0" borderId="0" xfId="0" applyFont="1" applyAlignment="1">
      <alignment horizontal="left" vertical="center" wrapText="1" indent="1"/>
    </xf>
    <xf numFmtId="0" fontId="43" fillId="0" borderId="18" xfId="0" applyFont="1" applyBorder="1" applyAlignment="1">
      <alignment horizontal="left" vertical="center" wrapText="1" indent="1"/>
    </xf>
    <xf numFmtId="0" fontId="0" fillId="8" borderId="18" xfId="0" applyFill="1" applyBorder="1"/>
    <xf numFmtId="0" fontId="0" fillId="8" borderId="0" xfId="0" applyFill="1"/>
    <xf numFmtId="0" fontId="34" fillId="8" borderId="0" xfId="0" applyFont="1" applyFill="1" applyAlignment="1">
      <alignment horizontal="left" vertical="top" wrapText="1" indent="1"/>
    </xf>
    <xf numFmtId="0" fontId="45" fillId="2" borderId="0" xfId="0" applyFont="1" applyFill="1" applyAlignment="1">
      <alignment horizontal="center" vertical="top" wrapText="1" indent="1"/>
    </xf>
    <xf numFmtId="0" fontId="0" fillId="0" borderId="0" xfId="0" applyAlignment="1">
      <alignment horizontal="right"/>
    </xf>
    <xf numFmtId="3" fontId="34" fillId="8" borderId="0" xfId="0" applyNumberFormat="1" applyFont="1" applyFill="1" applyAlignment="1">
      <alignment horizontal="left" vertical="top" wrapText="1" indent="1"/>
    </xf>
    <xf numFmtId="172" fontId="34" fillId="8" borderId="0" xfId="0" applyNumberFormat="1" applyFont="1" applyFill="1" applyAlignment="1">
      <alignment horizontal="left" vertical="top" wrapText="1" indent="1"/>
    </xf>
    <xf numFmtId="0" fontId="34" fillId="8" borderId="0" xfId="0" applyFont="1" applyFill="1" applyAlignment="1">
      <alignment horizontal="center" vertical="top" wrapText="1" indent="1"/>
    </xf>
    <xf numFmtId="166" fontId="8" fillId="0" borderId="0" xfId="0" applyNumberFormat="1" applyFont="1"/>
    <xf numFmtId="166" fontId="28" fillId="0" borderId="0" xfId="0" applyNumberFormat="1" applyFont="1"/>
    <xf numFmtId="166" fontId="12" fillId="0" borderId="0" xfId="0" applyNumberFormat="1" applyFont="1"/>
    <xf numFmtId="167" fontId="8" fillId="0" borderId="0" xfId="0" applyNumberFormat="1" applyFont="1"/>
    <xf numFmtId="169" fontId="8" fillId="0" borderId="0" xfId="0" applyNumberFormat="1" applyFont="1"/>
    <xf numFmtId="49" fontId="8" fillId="0" borderId="0" xfId="0" applyNumberFormat="1" applyFont="1"/>
    <xf numFmtId="4" fontId="8" fillId="4" borderId="0" xfId="0" applyNumberFormat="1" applyFont="1" applyFill="1"/>
    <xf numFmtId="4" fontId="8" fillId="4" borderId="21" xfId="0" applyNumberFormat="1" applyFont="1" applyFill="1" applyBorder="1"/>
    <xf numFmtId="165" fontId="12" fillId="0" borderId="0" xfId="0" applyNumberFormat="1" applyFont="1"/>
    <xf numFmtId="4" fontId="13" fillId="0" borderId="0" xfId="0" applyNumberFormat="1" applyFont="1"/>
    <xf numFmtId="4" fontId="1" fillId="0" borderId="0" xfId="0" applyNumberFormat="1" applyFont="1"/>
    <xf numFmtId="4" fontId="1" fillId="0" borderId="21" xfId="0" applyNumberFormat="1" applyFont="1" applyBorder="1"/>
    <xf numFmtId="164" fontId="13" fillId="0" borderId="0" xfId="0" applyNumberFormat="1" applyFont="1"/>
    <xf numFmtId="169" fontId="21" fillId="0" borderId="0" xfId="0" applyNumberFormat="1" applyFont="1"/>
    <xf numFmtId="169" fontId="21" fillId="0" borderId="21" xfId="0" applyNumberFormat="1" applyFont="1" applyBorder="1"/>
    <xf numFmtId="3" fontId="0" fillId="0" borderId="21" xfId="0" applyNumberFormat="1" applyBorder="1"/>
    <xf numFmtId="3" fontId="13" fillId="0" borderId="0" xfId="0" applyNumberFormat="1" applyFont="1"/>
    <xf numFmtId="3" fontId="1" fillId="0" borderId="21" xfId="0" applyNumberFormat="1" applyFont="1" applyBorder="1"/>
    <xf numFmtId="2" fontId="0" fillId="0" borderId="21" xfId="0" applyNumberFormat="1" applyBorder="1"/>
    <xf numFmtId="164" fontId="0" fillId="0" borderId="23" xfId="0" applyNumberFormat="1" applyBorder="1"/>
    <xf numFmtId="0" fontId="43" fillId="0" borderId="21" xfId="0" applyFont="1" applyBorder="1" applyAlignment="1">
      <alignment horizontal="left" vertical="center" wrapText="1" indent="1"/>
    </xf>
    <xf numFmtId="169" fontId="0" fillId="0" borderId="0" xfId="0" applyNumberFormat="1"/>
    <xf numFmtId="170" fontId="8" fillId="0" borderId="0" xfId="0" applyNumberFormat="1" applyFont="1"/>
    <xf numFmtId="170" fontId="28" fillId="0" borderId="0" xfId="0" applyNumberFormat="1" applyFont="1"/>
    <xf numFmtId="167" fontId="21" fillId="0" borderId="0" xfId="0" applyNumberFormat="1" applyFont="1"/>
    <xf numFmtId="3" fontId="12" fillId="0" borderId="16" xfId="0" applyNumberFormat="1" applyFont="1" applyBorder="1"/>
    <xf numFmtId="3" fontId="12" fillId="0" borderId="23" xfId="0" applyNumberFormat="1" applyFont="1" applyBorder="1"/>
    <xf numFmtId="10" fontId="8" fillId="4" borderId="0" xfId="0" applyNumberFormat="1" applyFont="1" applyFill="1"/>
    <xf numFmtId="10" fontId="8" fillId="4" borderId="21" xfId="0" applyNumberFormat="1" applyFont="1" applyFill="1" applyBorder="1"/>
    <xf numFmtId="10" fontId="12" fillId="0" borderId="0" xfId="0" applyNumberFormat="1" applyFont="1"/>
    <xf numFmtId="10" fontId="0" fillId="0" borderId="21" xfId="0" applyNumberFormat="1" applyBorder="1"/>
    <xf numFmtId="164" fontId="1" fillId="0" borderId="35" xfId="0" applyNumberFormat="1" applyFont="1" applyBorder="1"/>
    <xf numFmtId="3" fontId="12" fillId="0" borderId="21" xfId="0" applyNumberFormat="1" applyFont="1" applyBorder="1"/>
    <xf numFmtId="2" fontId="12" fillId="0" borderId="0" xfId="0" applyNumberFormat="1" applyFont="1"/>
    <xf numFmtId="43" fontId="8" fillId="4" borderId="21" xfId="1" applyFont="1" applyFill="1" applyBorder="1"/>
    <xf numFmtId="0" fontId="0" fillId="0" borderId="26" xfId="0" applyBorder="1"/>
    <xf numFmtId="0" fontId="38" fillId="0" borderId="0" xfId="0" applyFont="1" applyAlignment="1">
      <alignment horizontal="center"/>
    </xf>
    <xf numFmtId="171" fontId="0" fillId="0" borderId="0" xfId="0" applyNumberFormat="1"/>
    <xf numFmtId="2" fontId="8" fillId="4" borderId="0" xfId="0" applyNumberFormat="1" applyFont="1" applyFill="1"/>
    <xf numFmtId="2" fontId="8" fillId="4" borderId="21" xfId="0" applyNumberFormat="1" applyFont="1" applyFill="1" applyBorder="1"/>
    <xf numFmtId="0" fontId="12" fillId="0" borderId="0" xfId="0" applyFont="1"/>
    <xf numFmtId="0" fontId="49" fillId="14" borderId="0" xfId="2" applyFont="1" applyFill="1" applyAlignment="1">
      <alignment horizontal="center"/>
    </xf>
    <xf numFmtId="0" fontId="6" fillId="2" borderId="36" xfId="0" applyFont="1" applyFill="1" applyBorder="1" applyAlignment="1">
      <alignment horizontal="center"/>
    </xf>
    <xf numFmtId="0" fontId="0" fillId="0" borderId="36" xfId="0" applyBorder="1"/>
    <xf numFmtId="0" fontId="0" fillId="0" borderId="36" xfId="0" applyBorder="1" applyAlignment="1">
      <alignment wrapText="1"/>
    </xf>
    <xf numFmtId="0" fontId="0" fillId="0" borderId="36" xfId="0" applyBorder="1" applyAlignment="1">
      <alignment horizontal="center"/>
    </xf>
    <xf numFmtId="173" fontId="0" fillId="0" borderId="36" xfId="0" applyNumberFormat="1" applyBorder="1" applyAlignment="1">
      <alignment horizontal="center"/>
    </xf>
    <xf numFmtId="165" fontId="0" fillId="0" borderId="36" xfId="0" applyNumberFormat="1" applyBorder="1" applyAlignment="1">
      <alignment horizontal="center"/>
    </xf>
    <xf numFmtId="10" fontId="0" fillId="0" borderId="36" xfId="0" applyNumberFormat="1" applyBorder="1" applyAlignment="1">
      <alignment horizontal="center"/>
    </xf>
    <xf numFmtId="3" fontId="0" fillId="0" borderId="36" xfId="0" applyNumberFormat="1" applyBorder="1" applyAlignment="1">
      <alignment horizontal="center"/>
    </xf>
    <xf numFmtId="172" fontId="0" fillId="0" borderId="36" xfId="0" applyNumberFormat="1" applyBorder="1" applyAlignment="1">
      <alignment horizontal="center"/>
    </xf>
    <xf numFmtId="0" fontId="1" fillId="0" borderId="0" xfId="0" applyFont="1" applyAlignment="1">
      <alignment wrapText="1"/>
    </xf>
    <xf numFmtId="0" fontId="6" fillId="2" borderId="36" xfId="0" applyFont="1" applyFill="1" applyBorder="1" applyAlignment="1">
      <alignment horizontal="center" wrapText="1"/>
    </xf>
    <xf numFmtId="3" fontId="0" fillId="0" borderId="36" xfId="0" applyNumberFormat="1" applyBorder="1"/>
    <xf numFmtId="165" fontId="0" fillId="0" borderId="36" xfId="0" applyNumberFormat="1" applyBorder="1"/>
    <xf numFmtId="3" fontId="1" fillId="0" borderId="36" xfId="0" applyNumberFormat="1" applyFont="1" applyBorder="1"/>
    <xf numFmtId="165" fontId="1" fillId="0" borderId="36" xfId="0" applyNumberFormat="1" applyFont="1" applyBorder="1"/>
    <xf numFmtId="0" fontId="1" fillId="3" borderId="36" xfId="0" applyFont="1" applyFill="1" applyBorder="1"/>
    <xf numFmtId="173" fontId="0" fillId="0" borderId="36" xfId="0" applyNumberFormat="1" applyBorder="1"/>
    <xf numFmtId="2" fontId="0" fillId="0" borderId="36" xfId="0" applyNumberFormat="1" applyBorder="1"/>
    <xf numFmtId="174" fontId="0" fillId="0" borderId="36" xfId="0" applyNumberFormat="1" applyBorder="1"/>
    <xf numFmtId="3" fontId="8" fillId="4" borderId="36" xfId="0" applyNumberFormat="1" applyFont="1" applyFill="1" applyBorder="1"/>
    <xf numFmtId="9" fontId="8" fillId="4" borderId="36" xfId="0" applyNumberFormat="1" applyFont="1" applyFill="1" applyBorder="1"/>
    <xf numFmtId="173" fontId="8" fillId="4" borderId="36" xfId="0" applyNumberFormat="1" applyFont="1" applyFill="1" applyBorder="1"/>
    <xf numFmtId="0" fontId="4" fillId="0" borderId="36" xfId="0" applyFont="1" applyBorder="1" applyAlignment="1">
      <alignment wrapText="1"/>
    </xf>
    <xf numFmtId="0" fontId="4" fillId="0" borderId="0" xfId="0" applyFont="1" applyAlignment="1">
      <alignment wrapText="1"/>
    </xf>
    <xf numFmtId="0" fontId="49" fillId="0" borderId="36" xfId="2" applyFont="1" applyBorder="1"/>
    <xf numFmtId="0" fontId="34" fillId="0" borderId="36" xfId="0" applyFont="1" applyBorder="1" applyAlignment="1">
      <alignment vertical="top" wrapText="1"/>
    </xf>
    <xf numFmtId="0" fontId="0" fillId="0" borderId="18" xfId="0" quotePrefix="1" applyBorder="1"/>
    <xf numFmtId="0" fontId="0" fillId="0" borderId="0" xfId="0" applyAlignment="1">
      <alignment horizontal="left" indent="1"/>
    </xf>
    <xf numFmtId="0" fontId="16" fillId="0" borderId="0" xfId="0" applyFont="1" applyAlignment="1">
      <alignment horizontal="left" indent="1"/>
    </xf>
    <xf numFmtId="10" fontId="28" fillId="0" borderId="21" xfId="0" applyNumberFormat="1" applyFont="1" applyBorder="1"/>
    <xf numFmtId="164" fontId="29" fillId="0" borderId="21" xfId="0" applyNumberFormat="1" applyFont="1" applyBorder="1"/>
    <xf numFmtId="164" fontId="23" fillId="4" borderId="16" xfId="0" applyNumberFormat="1" applyFont="1" applyFill="1" applyBorder="1"/>
    <xf numFmtId="164" fontId="23" fillId="4" borderId="23" xfId="0" applyNumberFormat="1" applyFont="1" applyFill="1" applyBorder="1"/>
    <xf numFmtId="0" fontId="0" fillId="0" borderId="16" xfId="0" applyBorder="1" applyAlignment="1">
      <alignment vertical="top"/>
    </xf>
    <xf numFmtId="3" fontId="1" fillId="0" borderId="16" xfId="0" applyNumberFormat="1" applyFont="1" applyBorder="1" applyAlignment="1">
      <alignment vertical="top"/>
    </xf>
    <xf numFmtId="0" fontId="0" fillId="0" borderId="23" xfId="0" applyBorder="1" applyAlignment="1">
      <alignment vertical="top"/>
    </xf>
    <xf numFmtId="0" fontId="1" fillId="13" borderId="0" xfId="0" applyFont="1" applyFill="1"/>
    <xf numFmtId="0" fontId="38" fillId="18" borderId="37" xfId="0" applyFont="1" applyFill="1" applyBorder="1" applyAlignment="1">
      <alignment horizontal="center" wrapText="1"/>
    </xf>
    <xf numFmtId="0" fontId="38" fillId="18" borderId="3" xfId="0" applyFont="1" applyFill="1" applyBorder="1" applyAlignment="1">
      <alignment horizontal="center" wrapText="1"/>
    </xf>
    <xf numFmtId="0" fontId="56" fillId="0" borderId="37" xfId="0" applyFont="1" applyBorder="1"/>
    <xf numFmtId="0" fontId="56" fillId="0" borderId="37" xfId="0" applyFont="1" applyBorder="1" applyAlignment="1">
      <alignment horizontal="left"/>
    </xf>
    <xf numFmtId="165" fontId="56" fillId="0" borderId="37" xfId="0" applyNumberFormat="1" applyFont="1" applyBorder="1" applyAlignment="1">
      <alignment horizontal="center"/>
    </xf>
    <xf numFmtId="3" fontId="56" fillId="0" borderId="37" xfId="0" applyNumberFormat="1" applyFont="1" applyBorder="1" applyAlignment="1">
      <alignment horizontal="center"/>
    </xf>
    <xf numFmtId="165" fontId="56" fillId="0" borderId="3" xfId="0" applyNumberFormat="1" applyFont="1" applyBorder="1" applyAlignment="1">
      <alignment horizontal="center"/>
    </xf>
    <xf numFmtId="0" fontId="56" fillId="0" borderId="37" xfId="0" applyFont="1" applyBorder="1" applyAlignment="1">
      <alignment vertical="top" wrapText="1"/>
    </xf>
    <xf numFmtId="3" fontId="66" fillId="0" borderId="37" xfId="0" applyNumberFormat="1" applyFont="1" applyBorder="1"/>
    <xf numFmtId="165" fontId="66" fillId="0" borderId="37" xfId="0" applyNumberFormat="1" applyFont="1" applyBorder="1"/>
    <xf numFmtId="9" fontId="1" fillId="0" borderId="37" xfId="0" applyNumberFormat="1" applyFont="1" applyBorder="1" applyAlignment="1">
      <alignment horizontal="center"/>
    </xf>
    <xf numFmtId="3" fontId="0" fillId="0" borderId="37" xfId="0" applyNumberFormat="1" applyBorder="1" applyAlignment="1">
      <alignment horizontal="center"/>
    </xf>
    <xf numFmtId="3" fontId="1" fillId="4" borderId="37" xfId="0" applyNumberFormat="1" applyFont="1" applyFill="1" applyBorder="1" applyAlignment="1">
      <alignment horizontal="center"/>
    </xf>
    <xf numFmtId="165" fontId="38" fillId="0" borderId="37" xfId="0" applyNumberFormat="1" applyFont="1" applyBorder="1"/>
    <xf numFmtId="176" fontId="56" fillId="0" borderId="37" xfId="0" applyNumberFormat="1" applyFont="1" applyBorder="1"/>
    <xf numFmtId="0" fontId="38" fillId="19" borderId="0" xfId="0" applyFont="1" applyFill="1"/>
    <xf numFmtId="0" fontId="6" fillId="6" borderId="0" xfId="0" applyFont="1" applyFill="1" applyAlignment="1">
      <alignment horizontal="center"/>
    </xf>
    <xf numFmtId="0" fontId="6" fillId="5" borderId="0" xfId="0" applyFont="1" applyFill="1" applyAlignment="1">
      <alignment horizontal="center"/>
    </xf>
    <xf numFmtId="0" fontId="56" fillId="0" borderId="0" xfId="0" applyFont="1" applyAlignment="1">
      <alignment horizontal="left" wrapText="1"/>
    </xf>
    <xf numFmtId="3" fontId="12" fillId="0" borderId="0" xfId="0" applyNumberFormat="1" applyFont="1"/>
    <xf numFmtId="2" fontId="8" fillId="0" borderId="0" xfId="0" applyNumberFormat="1" applyFont="1"/>
    <xf numFmtId="164" fontId="23" fillId="0" borderId="0" xfId="0" applyNumberFormat="1" applyFont="1"/>
    <xf numFmtId="0" fontId="38" fillId="18" borderId="38" xfId="0" applyFont="1" applyFill="1" applyBorder="1" applyAlignment="1">
      <alignment horizontal="center" wrapText="1"/>
    </xf>
    <xf numFmtId="0" fontId="66" fillId="0" borderId="38" xfId="0" applyFont="1" applyBorder="1"/>
    <xf numFmtId="0" fontId="28" fillId="0" borderId="18" xfId="0" applyFont="1" applyBorder="1"/>
    <xf numFmtId="0" fontId="65" fillId="0" borderId="18" xfId="0" applyFont="1" applyBorder="1"/>
    <xf numFmtId="0" fontId="65" fillId="0" borderId="0" xfId="0" applyFont="1"/>
    <xf numFmtId="0" fontId="66" fillId="0" borderId="0" xfId="0" applyFont="1"/>
    <xf numFmtId="165" fontId="66" fillId="0" borderId="0" xfId="0" applyNumberFormat="1" applyFont="1"/>
    <xf numFmtId="0" fontId="29" fillId="3" borderId="18" xfId="0" applyFont="1" applyFill="1" applyBorder="1"/>
    <xf numFmtId="0" fontId="65" fillId="0" borderId="38" xfId="0" applyFont="1" applyBorder="1"/>
    <xf numFmtId="0" fontId="65" fillId="0" borderId="38" xfId="0" quotePrefix="1" applyFont="1" applyBorder="1"/>
    <xf numFmtId="165" fontId="69" fillId="0" borderId="0" xfId="0" applyNumberFormat="1" applyFont="1"/>
    <xf numFmtId="0" fontId="1" fillId="3" borderId="0" xfId="0" applyFont="1" applyFill="1" applyAlignment="1">
      <alignment horizontal="center"/>
    </xf>
    <xf numFmtId="0" fontId="0" fillId="0" borderId="0" xfId="0" applyAlignment="1">
      <alignment horizontal="left" wrapText="1"/>
    </xf>
    <xf numFmtId="0" fontId="6" fillId="2" borderId="41" xfId="0" applyFont="1" applyFill="1" applyBorder="1" applyAlignment="1">
      <alignment horizontal="center" wrapText="1"/>
    </xf>
    <xf numFmtId="0" fontId="0" fillId="0" borderId="41" xfId="0" applyBorder="1"/>
    <xf numFmtId="170" fontId="0" fillId="0" borderId="0" xfId="0" applyNumberFormat="1"/>
    <xf numFmtId="9" fontId="8" fillId="4" borderId="0" xfId="0" applyNumberFormat="1" applyFont="1" applyFill="1"/>
    <xf numFmtId="0" fontId="1" fillId="0" borderId="41" xfId="0" applyFont="1" applyBorder="1"/>
    <xf numFmtId="170" fontId="1" fillId="0" borderId="0" xfId="0" applyNumberFormat="1" applyFont="1"/>
    <xf numFmtId="165" fontId="1" fillId="0" borderId="0" xfId="0" applyNumberFormat="1" applyFont="1"/>
    <xf numFmtId="0" fontId="1" fillId="3" borderId="41" xfId="0" applyFont="1" applyFill="1" applyBorder="1"/>
    <xf numFmtId="0" fontId="1" fillId="3" borderId="42" xfId="0" applyFont="1" applyFill="1" applyBorder="1"/>
    <xf numFmtId="0" fontId="6" fillId="2" borderId="42" xfId="0" applyFont="1" applyFill="1" applyBorder="1" applyAlignment="1">
      <alignment horizontal="center" wrapText="1"/>
    </xf>
    <xf numFmtId="170" fontId="0" fillId="0" borderId="42" xfId="0" applyNumberFormat="1" applyBorder="1"/>
    <xf numFmtId="167" fontId="0" fillId="0" borderId="42" xfId="0" applyNumberFormat="1" applyBorder="1"/>
    <xf numFmtId="170" fontId="1" fillId="0" borderId="42" xfId="0" applyNumberFormat="1" applyFont="1" applyBorder="1"/>
    <xf numFmtId="167" fontId="1" fillId="0" borderId="42" xfId="0" applyNumberFormat="1" applyFont="1" applyBorder="1"/>
    <xf numFmtId="0" fontId="0" fillId="0" borderId="42" xfId="0" applyBorder="1"/>
    <xf numFmtId="167" fontId="8" fillId="4" borderId="0" xfId="0" applyNumberFormat="1" applyFont="1" applyFill="1"/>
    <xf numFmtId="0" fontId="0" fillId="0" borderId="41" xfId="0" applyBorder="1" applyAlignment="1">
      <alignment vertical="center"/>
    </xf>
    <xf numFmtId="0" fontId="0" fillId="0" borderId="42" xfId="0" applyBorder="1" applyAlignment="1">
      <alignment horizontal="left" wrapText="1"/>
    </xf>
    <xf numFmtId="0" fontId="1" fillId="0" borderId="42" xfId="0" applyFont="1" applyBorder="1" applyAlignment="1">
      <alignment horizontal="center"/>
    </xf>
    <xf numFmtId="0" fontId="1" fillId="0" borderId="41" xfId="0" quotePrefix="1" applyFont="1" applyBorder="1"/>
    <xf numFmtId="0" fontId="2" fillId="0" borderId="41" xfId="0" applyFont="1" applyBorder="1"/>
    <xf numFmtId="0" fontId="1" fillId="0" borderId="0" xfId="0" applyFont="1" applyAlignment="1">
      <alignment horizontal="left"/>
    </xf>
    <xf numFmtId="0" fontId="29" fillId="3" borderId="41" xfId="0" applyFont="1" applyFill="1" applyBorder="1"/>
    <xf numFmtId="0" fontId="29" fillId="3" borderId="0" xfId="0" applyFont="1" applyFill="1"/>
    <xf numFmtId="0" fontId="29" fillId="3" borderId="42" xfId="0" applyFont="1" applyFill="1" applyBorder="1"/>
    <xf numFmtId="0" fontId="54" fillId="0" borderId="41" xfId="0" applyFont="1" applyBorder="1"/>
    <xf numFmtId="0" fontId="56" fillId="0" borderId="41" xfId="0" applyFont="1" applyBorder="1"/>
    <xf numFmtId="3" fontId="28" fillId="0" borderId="0" xfId="0" applyNumberFormat="1" applyFont="1"/>
    <xf numFmtId="0" fontId="38" fillId="0" borderId="41" xfId="0" quotePrefix="1" applyFont="1" applyBorder="1"/>
    <xf numFmtId="3" fontId="29" fillId="0" borderId="0" xfId="0" applyNumberFormat="1" applyFont="1"/>
    <xf numFmtId="0" fontId="56" fillId="0" borderId="41" xfId="0" quotePrefix="1" applyFont="1" applyBorder="1"/>
    <xf numFmtId="0" fontId="38" fillId="0" borderId="41" xfId="0" applyFont="1" applyBorder="1"/>
    <xf numFmtId="165" fontId="28" fillId="0" borderId="0" xfId="0" applyNumberFormat="1" applyFont="1"/>
    <xf numFmtId="0" fontId="56" fillId="0" borderId="41" xfId="0" applyFont="1" applyBorder="1" applyAlignment="1">
      <alignment horizontal="left" vertical="center"/>
    </xf>
    <xf numFmtId="0" fontId="65" fillId="3" borderId="41" xfId="0" applyFont="1" applyFill="1" applyBorder="1"/>
    <xf numFmtId="169" fontId="28" fillId="0" borderId="0" xfId="0" applyNumberFormat="1" applyFont="1"/>
    <xf numFmtId="0" fontId="56" fillId="0" borderId="41" xfId="0" applyFont="1" applyBorder="1" applyAlignment="1">
      <alignment vertical="center"/>
    </xf>
    <xf numFmtId="175" fontId="0" fillId="0" borderId="0" xfId="0" applyNumberFormat="1"/>
    <xf numFmtId="3" fontId="50" fillId="0" borderId="0" xfId="0" applyNumberFormat="1" applyFont="1"/>
    <xf numFmtId="0" fontId="6" fillId="2" borderId="36" xfId="0" applyFont="1" applyFill="1" applyBorder="1" applyAlignment="1">
      <alignment horizontal="center" vertical="center" wrapText="1"/>
    </xf>
    <xf numFmtId="0" fontId="0" fillId="0" borderId="0" xfId="0" applyAlignment="1">
      <alignment horizontal="center" vertical="center"/>
    </xf>
    <xf numFmtId="165" fontId="8" fillId="0" borderId="0" xfId="0" applyNumberFormat="1" applyFont="1"/>
    <xf numFmtId="0" fontId="57" fillId="0" borderId="18" xfId="0" applyFont="1" applyBorder="1" applyAlignment="1">
      <alignment vertical="top" wrapText="1"/>
    </xf>
    <xf numFmtId="0" fontId="57" fillId="0" borderId="0" xfId="0" applyFont="1" applyAlignment="1">
      <alignment vertical="top" wrapText="1"/>
    </xf>
    <xf numFmtId="0" fontId="57" fillId="0" borderId="21" xfId="0" applyFont="1" applyBorder="1" applyAlignment="1">
      <alignment vertical="top" wrapText="1"/>
    </xf>
    <xf numFmtId="10" fontId="28" fillId="0" borderId="0" xfId="0" applyNumberFormat="1" applyFont="1"/>
    <xf numFmtId="164" fontId="29" fillId="0" borderId="0" xfId="0" applyNumberFormat="1" applyFont="1"/>
    <xf numFmtId="0" fontId="1" fillId="13" borderId="18" xfId="0" applyFont="1" applyFill="1" applyBorder="1"/>
    <xf numFmtId="0" fontId="1" fillId="13" borderId="21" xfId="0" applyFont="1" applyFill="1" applyBorder="1"/>
    <xf numFmtId="0" fontId="56" fillId="0" borderId="18" xfId="0" applyFont="1" applyBorder="1" applyAlignment="1">
      <alignment horizontal="left" wrapText="1"/>
    </xf>
    <xf numFmtId="0" fontId="56" fillId="0" borderId="21" xfId="0" applyFont="1" applyBorder="1" applyAlignment="1">
      <alignment horizontal="left" wrapText="1"/>
    </xf>
    <xf numFmtId="0" fontId="51" fillId="2" borderId="42" xfId="0" applyFont="1" applyFill="1" applyBorder="1" applyAlignment="1">
      <alignment horizontal="center" wrapText="1"/>
    </xf>
    <xf numFmtId="0" fontId="0" fillId="0" borderId="41" xfId="0" applyBorder="1" applyAlignment="1">
      <alignment wrapText="1"/>
    </xf>
    <xf numFmtId="0" fontId="4" fillId="0" borderId="42" xfId="0" applyFont="1" applyBorder="1" applyAlignment="1">
      <alignment wrapText="1"/>
    </xf>
    <xf numFmtId="43" fontId="0" fillId="0" borderId="0" xfId="1" applyFont="1" applyBorder="1"/>
    <xf numFmtId="0" fontId="0" fillId="0" borderId="43" xfId="0" applyBorder="1" applyAlignment="1">
      <alignment wrapText="1"/>
    </xf>
    <xf numFmtId="0" fontId="0" fillId="0" borderId="44" xfId="0" applyBorder="1"/>
    <xf numFmtId="0" fontId="4" fillId="0" borderId="45" xfId="0" applyFont="1" applyBorder="1" applyAlignment="1">
      <alignment wrapText="1"/>
    </xf>
    <xf numFmtId="0" fontId="27" fillId="4" borderId="0" xfId="0" applyFont="1" applyFill="1" applyAlignment="1">
      <alignment horizontal="center"/>
    </xf>
    <xf numFmtId="169" fontId="8" fillId="4" borderId="0" xfId="0" applyNumberFormat="1" applyFont="1" applyFill="1"/>
    <xf numFmtId="10" fontId="8" fillId="0" borderId="0" xfId="0" applyNumberFormat="1" applyFont="1"/>
    <xf numFmtId="0" fontId="56" fillId="0" borderId="18" xfId="0" applyFont="1" applyBorder="1" applyAlignment="1">
      <alignment horizontal="left" vertical="top" wrapText="1"/>
    </xf>
    <xf numFmtId="0" fontId="56" fillId="0" borderId="0" xfId="0" applyFont="1" applyAlignment="1">
      <alignment horizontal="left" vertical="top" wrapText="1"/>
    </xf>
    <xf numFmtId="0" fontId="0" fillId="0" borderId="0" xfId="0" applyAlignment="1">
      <alignment horizontal="left"/>
    </xf>
    <xf numFmtId="0" fontId="21" fillId="0" borderId="0" xfId="0" applyFont="1" applyAlignment="1">
      <alignment wrapText="1"/>
    </xf>
    <xf numFmtId="0" fontId="38" fillId="0" borderId="38" xfId="0" applyFont="1" applyBorder="1"/>
    <xf numFmtId="0" fontId="0" fillId="0" borderId="21" xfId="0" applyBorder="1" applyAlignment="1">
      <alignment horizontal="left" wrapText="1"/>
    </xf>
    <xf numFmtId="0" fontId="68" fillId="0" borderId="18" xfId="0" applyFont="1" applyBorder="1"/>
    <xf numFmtId="0" fontId="38" fillId="0" borderId="38" xfId="0" applyFont="1" applyBorder="1" applyAlignment="1">
      <alignment vertical="top" wrapText="1"/>
    </xf>
    <xf numFmtId="0" fontId="54" fillId="0" borderId="18" xfId="0" applyFont="1" applyBorder="1"/>
    <xf numFmtId="0" fontId="0" fillId="0" borderId="18" xfId="0" applyBorder="1" applyAlignment="1">
      <alignment horizontal="left"/>
    </xf>
    <xf numFmtId="0" fontId="17" fillId="0" borderId="36" xfId="2" applyBorder="1"/>
    <xf numFmtId="0" fontId="56" fillId="0" borderId="21" xfId="0" applyFont="1" applyBorder="1" applyAlignment="1">
      <alignment horizontal="left" vertical="top" wrapText="1"/>
    </xf>
    <xf numFmtId="0" fontId="8" fillId="0" borderId="0" xfId="0" applyFont="1" applyAlignment="1">
      <alignment horizontal="left"/>
    </xf>
    <xf numFmtId="0" fontId="49" fillId="14" borderId="40" xfId="2" applyFont="1" applyFill="1" applyBorder="1" applyAlignment="1">
      <alignment horizontal="center"/>
    </xf>
    <xf numFmtId="0" fontId="6" fillId="2" borderId="47" xfId="0" applyFont="1" applyFill="1" applyBorder="1" applyAlignment="1">
      <alignment vertical="center" wrapText="1"/>
    </xf>
    <xf numFmtId="0" fontId="6" fillId="2" borderId="0" xfId="0" applyFont="1" applyFill="1" applyAlignment="1">
      <alignment horizontal="center" vertical="center" wrapText="1"/>
    </xf>
    <xf numFmtId="0" fontId="6" fillId="2" borderId="42" xfId="0" applyFont="1" applyFill="1" applyBorder="1" applyAlignment="1">
      <alignment horizontal="center" vertical="center" wrapText="1"/>
    </xf>
    <xf numFmtId="0" fontId="0" fillId="0" borderId="41" xfId="0" applyBorder="1" applyAlignment="1">
      <alignment vertical="top" wrapText="1"/>
    </xf>
    <xf numFmtId="10" fontId="8" fillId="0" borderId="0" xfId="0" applyNumberFormat="1" applyFont="1" applyAlignment="1">
      <alignment vertical="top" wrapText="1"/>
    </xf>
    <xf numFmtId="10" fontId="8" fillId="4" borderId="0" xfId="0" applyNumberFormat="1" applyFont="1" applyFill="1" applyAlignment="1">
      <alignment vertical="top" wrapText="1"/>
    </xf>
    <xf numFmtId="0" fontId="8" fillId="4" borderId="0" xfId="0" applyFont="1" applyFill="1" applyAlignment="1">
      <alignment vertical="top" wrapText="1"/>
    </xf>
    <xf numFmtId="9" fontId="8" fillId="4" borderId="0" xfId="0" applyNumberFormat="1" applyFont="1" applyFill="1" applyAlignment="1">
      <alignment vertical="top"/>
    </xf>
    <xf numFmtId="3" fontId="0" fillId="0" borderId="42" xfId="0" applyNumberFormat="1" applyBorder="1" applyAlignment="1">
      <alignment vertical="top"/>
    </xf>
    <xf numFmtId="0" fontId="8" fillId="0" borderId="0" xfId="0" applyFont="1" applyAlignment="1">
      <alignment vertical="top" wrapText="1"/>
    </xf>
    <xf numFmtId="9" fontId="8" fillId="0" borderId="0" xfId="0" applyNumberFormat="1" applyFont="1" applyAlignment="1">
      <alignment vertical="top" wrapText="1"/>
    </xf>
    <xf numFmtId="9" fontId="8" fillId="4" borderId="0" xfId="0" applyNumberFormat="1" applyFont="1" applyFill="1" applyAlignment="1">
      <alignment vertical="top" wrapText="1"/>
    </xf>
    <xf numFmtId="0" fontId="1" fillId="0" borderId="48" xfId="0" applyFont="1" applyBorder="1" applyAlignment="1">
      <alignment vertical="top"/>
    </xf>
    <xf numFmtId="0" fontId="1" fillId="0" borderId="0" xfId="0" applyFont="1" applyAlignment="1">
      <alignment vertical="top" wrapText="1"/>
    </xf>
    <xf numFmtId="0" fontId="0" fillId="0" borderId="0" xfId="0" applyAlignment="1">
      <alignment vertical="top"/>
    </xf>
    <xf numFmtId="3" fontId="1" fillId="0" borderId="42" xfId="0" applyNumberFormat="1" applyFont="1" applyBorder="1" applyAlignment="1">
      <alignment vertical="top"/>
    </xf>
    <xf numFmtId="0" fontId="1" fillId="13" borderId="41" xfId="0" applyFont="1" applyFill="1" applyBorder="1"/>
    <xf numFmtId="0" fontId="1" fillId="13" borderId="42" xfId="0" applyFont="1" applyFill="1" applyBorder="1"/>
    <xf numFmtId="0" fontId="70" fillId="0" borderId="0" xfId="0" applyFont="1" applyAlignment="1">
      <alignment horizontal="center"/>
    </xf>
    <xf numFmtId="0" fontId="1" fillId="13" borderId="39" xfId="0" applyFont="1" applyFill="1" applyBorder="1"/>
    <xf numFmtId="0" fontId="1" fillId="13" borderId="1" xfId="0" applyFont="1" applyFill="1" applyBorder="1"/>
    <xf numFmtId="0" fontId="1" fillId="13" borderId="40" xfId="0" applyFont="1" applyFill="1" applyBorder="1"/>
    <xf numFmtId="0" fontId="0" fillId="0" borderId="45" xfId="0" applyBorder="1" applyAlignment="1">
      <alignment horizontal="left" wrapText="1"/>
    </xf>
    <xf numFmtId="0" fontId="6" fillId="2" borderId="49" xfId="0" applyFont="1" applyFill="1" applyBorder="1" applyAlignment="1">
      <alignment horizontal="center" vertical="center" wrapText="1"/>
    </xf>
    <xf numFmtId="0" fontId="6" fillId="2" borderId="50" xfId="0" applyFont="1" applyFill="1" applyBorder="1" applyAlignment="1">
      <alignment horizontal="center" vertical="center" wrapText="1"/>
    </xf>
    <xf numFmtId="0" fontId="0" fillId="0" borderId="49" xfId="0" applyBorder="1" applyAlignment="1">
      <alignment wrapText="1"/>
    </xf>
    <xf numFmtId="0" fontId="1" fillId="0" borderId="50" xfId="0" applyFont="1" applyBorder="1" applyAlignment="1">
      <alignment horizontal="center"/>
    </xf>
    <xf numFmtId="0" fontId="0" fillId="0" borderId="50" xfId="0" applyBorder="1"/>
    <xf numFmtId="0" fontId="1" fillId="0" borderId="49" xfId="0" applyFont="1" applyBorder="1" applyAlignment="1">
      <alignment wrapText="1"/>
    </xf>
    <xf numFmtId="9" fontId="0" fillId="0" borderId="0" xfId="0" applyNumberFormat="1"/>
    <xf numFmtId="0" fontId="6" fillId="2" borderId="41" xfId="0" applyFont="1" applyFill="1" applyBorder="1"/>
    <xf numFmtId="0" fontId="6" fillId="2" borderId="0" xfId="0" applyFont="1" applyFill="1"/>
    <xf numFmtId="0" fontId="6" fillId="2" borderId="42" xfId="0" applyFont="1" applyFill="1" applyBorder="1"/>
    <xf numFmtId="0" fontId="70" fillId="0" borderId="41" xfId="0" applyFont="1" applyBorder="1" applyAlignment="1">
      <alignment horizontal="center"/>
    </xf>
    <xf numFmtId="0" fontId="48" fillId="0" borderId="0" xfId="2" applyFont="1" applyBorder="1"/>
    <xf numFmtId="0" fontId="17" fillId="0" borderId="0" xfId="2" applyBorder="1"/>
    <xf numFmtId="0" fontId="17" fillId="3" borderId="41" xfId="2" applyFill="1" applyBorder="1"/>
    <xf numFmtId="0" fontId="28" fillId="0" borderId="42" xfId="0" applyFont="1" applyBorder="1"/>
    <xf numFmtId="0" fontId="67" fillId="3" borderId="41" xfId="0" applyFont="1" applyFill="1" applyBorder="1"/>
    <xf numFmtId="0" fontId="67" fillId="3" borderId="0" xfId="0" applyFont="1" applyFill="1"/>
    <xf numFmtId="0" fontId="67" fillId="3" borderId="42" xfId="0" applyFont="1" applyFill="1" applyBorder="1"/>
    <xf numFmtId="0" fontId="1" fillId="0" borderId="41" xfId="0" applyFont="1" applyBorder="1" applyAlignment="1">
      <alignment horizontal="center"/>
    </xf>
    <xf numFmtId="0" fontId="56" fillId="0" borderId="42" xfId="0" applyFont="1" applyBorder="1"/>
    <xf numFmtId="0" fontId="56" fillId="0" borderId="42" xfId="0" applyFont="1" applyBorder="1" applyAlignment="1">
      <alignment wrapText="1"/>
    </xf>
    <xf numFmtId="0" fontId="54" fillId="19" borderId="43" xfId="0" applyFont="1" applyFill="1" applyBorder="1"/>
    <xf numFmtId="0" fontId="0" fillId="0" borderId="45" xfId="0" applyBorder="1"/>
    <xf numFmtId="0" fontId="34" fillId="8" borderId="18" xfId="0" applyFont="1" applyFill="1" applyBorder="1" applyAlignment="1">
      <alignment horizontal="left" vertical="top" wrapText="1" indent="1"/>
    </xf>
    <xf numFmtId="0" fontId="34" fillId="8" borderId="0" xfId="0" applyFont="1" applyFill="1" applyAlignment="1">
      <alignment horizontal="left" vertical="top" wrapText="1" indent="1"/>
    </xf>
    <xf numFmtId="0" fontId="0" fillId="0" borderId="0" xfId="0"/>
    <xf numFmtId="0" fontId="47" fillId="3" borderId="18" xfId="0" applyFont="1" applyFill="1" applyBorder="1" applyAlignment="1">
      <alignment horizontal="left" vertical="top" wrapText="1" indent="1"/>
    </xf>
    <xf numFmtId="0" fontId="47" fillId="3" borderId="0" xfId="0" applyFont="1" applyFill="1" applyAlignment="1">
      <alignment horizontal="left" vertical="top" wrapText="1" indent="1"/>
    </xf>
    <xf numFmtId="0" fontId="45" fillId="2" borderId="18" xfId="0" applyFont="1" applyFill="1" applyBorder="1" applyAlignment="1">
      <alignment horizontal="center" vertical="top" wrapText="1" indent="1"/>
    </xf>
    <xf numFmtId="0" fontId="45" fillId="2" borderId="0" xfId="0" applyFont="1" applyFill="1" applyAlignment="1">
      <alignment horizontal="center" vertical="top" wrapText="1" indent="1"/>
    </xf>
    <xf numFmtId="0" fontId="6" fillId="2" borderId="0" xfId="0" applyFont="1" applyFill="1" applyAlignment="1">
      <alignment horizontal="center"/>
    </xf>
    <xf numFmtId="0" fontId="46" fillId="8" borderId="18" xfId="0" applyFont="1" applyFill="1" applyBorder="1" applyAlignment="1">
      <alignment horizontal="left" vertical="top" wrapText="1" indent="1"/>
    </xf>
    <xf numFmtId="0" fontId="34" fillId="8" borderId="21" xfId="0" applyFont="1" applyFill="1" applyBorder="1" applyAlignment="1">
      <alignment horizontal="left" vertical="top" wrapText="1" indent="1"/>
    </xf>
    <xf numFmtId="0" fontId="47" fillId="3" borderId="21" xfId="0" applyFont="1" applyFill="1" applyBorder="1" applyAlignment="1">
      <alignment horizontal="left" vertical="top" wrapText="1" indent="1"/>
    </xf>
    <xf numFmtId="0" fontId="32" fillId="8" borderId="33" xfId="0" applyFont="1" applyFill="1" applyBorder="1" applyAlignment="1">
      <alignment indent="1"/>
    </xf>
    <xf numFmtId="0" fontId="32" fillId="8" borderId="14" xfId="0" applyFont="1" applyFill="1" applyBorder="1" applyAlignment="1">
      <alignment indent="1"/>
    </xf>
    <xf numFmtId="0" fontId="33" fillId="8" borderId="18" xfId="0" applyFont="1" applyFill="1" applyBorder="1" applyAlignment="1">
      <alignment indent="1"/>
    </xf>
    <xf numFmtId="0" fontId="33" fillId="8" borderId="10" xfId="0" applyFont="1" applyFill="1" applyBorder="1" applyAlignment="1">
      <alignment indent="1"/>
    </xf>
    <xf numFmtId="0" fontId="34" fillId="8" borderId="10" xfId="0" applyFont="1" applyFill="1" applyBorder="1" applyAlignment="1">
      <alignment horizontal="left" vertical="top" wrapText="1" indent="1"/>
    </xf>
    <xf numFmtId="0" fontId="34" fillId="8" borderId="34" xfId="0" applyFont="1" applyFill="1" applyBorder="1" applyAlignment="1">
      <alignment horizontal="left" vertical="top" wrapText="1" indent="1"/>
    </xf>
    <xf numFmtId="0" fontId="34" fillId="8" borderId="11" xfId="0" applyFont="1" applyFill="1" applyBorder="1" applyAlignment="1">
      <alignment horizontal="left" vertical="top" wrapText="1" indent="1"/>
    </xf>
    <xf numFmtId="0" fontId="45" fillId="2" borderId="17" xfId="0" applyFont="1" applyFill="1" applyBorder="1" applyAlignment="1">
      <alignment horizontal="left" vertical="top" wrapText="1" indent="1"/>
    </xf>
    <xf numFmtId="0" fontId="45" fillId="2" borderId="15" xfId="0" applyFont="1" applyFill="1" applyBorder="1" applyAlignment="1">
      <alignment horizontal="left" vertical="top" wrapText="1" indent="1"/>
    </xf>
    <xf numFmtId="0" fontId="45" fillId="2" borderId="20" xfId="0" applyFont="1" applyFill="1" applyBorder="1" applyAlignment="1">
      <alignment horizontal="left" vertical="top" wrapText="1" indent="1"/>
    </xf>
    <xf numFmtId="0" fontId="34" fillId="8" borderId="6" xfId="0" applyFont="1" applyFill="1" applyBorder="1" applyAlignment="1">
      <alignment horizontal="left" vertical="top" wrapText="1" indent="1"/>
    </xf>
    <xf numFmtId="0" fontId="32" fillId="8" borderId="12" xfId="0" applyFont="1" applyFill="1" applyBorder="1" applyAlignment="1">
      <alignment indent="1"/>
    </xf>
    <xf numFmtId="0" fontId="32" fillId="8" borderId="13" xfId="0" applyFont="1" applyFill="1" applyBorder="1" applyAlignment="1">
      <alignment indent="1"/>
    </xf>
    <xf numFmtId="0" fontId="33" fillId="8" borderId="8" xfId="0" applyFont="1" applyFill="1" applyBorder="1" applyAlignment="1">
      <alignment indent="1"/>
    </xf>
    <xf numFmtId="0" fontId="33" fillId="8" borderId="0" xfId="0" applyFont="1" applyFill="1" applyAlignment="1">
      <alignment indent="1"/>
    </xf>
    <xf numFmtId="0" fontId="34" fillId="8" borderId="8" xfId="0" applyFont="1" applyFill="1" applyBorder="1" applyAlignment="1">
      <alignment horizontal="left" vertical="top" wrapText="1" indent="1"/>
    </xf>
    <xf numFmtId="0" fontId="34" fillId="8" borderId="9" xfId="0" applyFont="1" applyFill="1" applyBorder="1" applyAlignment="1">
      <alignment horizontal="left" vertical="top" wrapText="1" indent="1"/>
    </xf>
    <xf numFmtId="0" fontId="36" fillId="2" borderId="17" xfId="0" applyFont="1" applyFill="1" applyBorder="1" applyAlignment="1">
      <alignment vertical="center" indent="1"/>
    </xf>
    <xf numFmtId="0" fontId="36" fillId="2" borderId="15" xfId="0" applyFont="1" applyFill="1" applyBorder="1" applyAlignment="1">
      <alignment vertical="center" indent="1"/>
    </xf>
    <xf numFmtId="0" fontId="36" fillId="2" borderId="20" xfId="0" applyFont="1" applyFill="1" applyBorder="1" applyAlignment="1">
      <alignment vertical="center" indent="1"/>
    </xf>
    <xf numFmtId="0" fontId="35" fillId="7" borderId="18" xfId="0" applyFont="1" applyFill="1" applyBorder="1" applyAlignment="1">
      <alignment vertical="center" indent="1"/>
    </xf>
    <xf numFmtId="0" fontId="35" fillId="7" borderId="0" xfId="0" applyFont="1" applyFill="1" applyAlignment="1">
      <alignment vertical="center" indent="1"/>
    </xf>
    <xf numFmtId="0" fontId="35" fillId="7" borderId="21" xfId="0" applyFont="1" applyFill="1" applyBorder="1" applyAlignment="1">
      <alignment vertical="center" indent="1"/>
    </xf>
    <xf numFmtId="0" fontId="1" fillId="3" borderId="0" xfId="0" applyFont="1" applyFill="1" applyAlignment="1">
      <alignment horizontal="left" wrapText="1" indent="1"/>
    </xf>
    <xf numFmtId="0" fontId="1" fillId="3" borderId="21" xfId="0" applyFont="1" applyFill="1" applyBorder="1" applyAlignment="1">
      <alignment horizontal="left" wrapText="1" indent="1"/>
    </xf>
    <xf numFmtId="0" fontId="45" fillId="11" borderId="18" xfId="0" applyFont="1" applyFill="1" applyBorder="1" applyAlignment="1">
      <alignment horizontal="center" vertical="top" wrapText="1" indent="1"/>
    </xf>
    <xf numFmtId="0" fontId="45" fillId="11" borderId="0" xfId="0" applyFont="1" applyFill="1" applyAlignment="1">
      <alignment horizontal="center" vertical="top" wrapText="1" indent="1"/>
    </xf>
    <xf numFmtId="0" fontId="0" fillId="0" borderId="0" xfId="0" applyAlignment="1">
      <alignment wrapText="1"/>
    </xf>
    <xf numFmtId="0" fontId="0" fillId="0" borderId="0" xfId="0" applyAlignment="1">
      <alignment horizontal="center"/>
    </xf>
    <xf numFmtId="0" fontId="0" fillId="0" borderId="21" xfId="0" applyBorder="1" applyAlignment="1">
      <alignment horizontal="center"/>
    </xf>
    <xf numFmtId="0" fontId="6" fillId="2" borderId="21" xfId="0" applyFont="1" applyFill="1" applyBorder="1" applyAlignment="1">
      <alignment horizontal="center"/>
    </xf>
    <xf numFmtId="0" fontId="42" fillId="2" borderId="17" xfId="0" applyFont="1" applyFill="1" applyBorder="1" applyAlignment="1">
      <alignment vertical="center" indent="1"/>
    </xf>
    <xf numFmtId="0" fontId="42" fillId="2" borderId="15" xfId="0" applyFont="1" applyFill="1" applyBorder="1" applyAlignment="1">
      <alignment vertical="center" indent="1"/>
    </xf>
    <xf numFmtId="0" fontId="42" fillId="2" borderId="20" xfId="0" applyFont="1" applyFill="1" applyBorder="1" applyAlignment="1">
      <alignment vertical="center" indent="1"/>
    </xf>
    <xf numFmtId="0" fontId="43" fillId="7" borderId="18" xfId="0" applyFont="1" applyFill="1" applyBorder="1" applyAlignment="1">
      <alignment vertical="center" wrapText="1" indent="1"/>
    </xf>
    <xf numFmtId="0" fontId="43" fillId="7" borderId="0" xfId="0" applyFont="1" applyFill="1" applyAlignment="1">
      <alignment vertical="center" wrapText="1" indent="1"/>
    </xf>
    <xf numFmtId="0" fontId="43" fillId="7" borderId="21" xfId="0" applyFont="1" applyFill="1" applyBorder="1" applyAlignment="1">
      <alignment vertical="center" wrapText="1" indent="1"/>
    </xf>
    <xf numFmtId="0" fontId="5" fillId="0" borderId="18" xfId="0" applyFont="1" applyBorder="1" applyAlignment="1">
      <alignment vertical="center" wrapText="1"/>
    </xf>
    <xf numFmtId="0" fontId="5" fillId="0" borderId="0" xfId="0" applyFont="1" applyAlignment="1">
      <alignment vertical="center" wrapText="1"/>
    </xf>
    <xf numFmtId="0" fontId="5" fillId="0" borderId="21" xfId="0" applyFont="1" applyBorder="1" applyAlignment="1">
      <alignment vertical="center" wrapText="1"/>
    </xf>
    <xf numFmtId="0" fontId="1" fillId="3" borderId="17" xfId="0" applyFont="1" applyFill="1" applyBorder="1" applyAlignment="1">
      <alignment vertical="top" wrapText="1"/>
    </xf>
    <xf numFmtId="0" fontId="1" fillId="3" borderId="15" xfId="0" applyFont="1" applyFill="1" applyBorder="1" applyAlignment="1">
      <alignment vertical="top" wrapText="1"/>
    </xf>
    <xf numFmtId="0" fontId="1" fillId="3" borderId="20" xfId="0" applyFont="1" applyFill="1" applyBorder="1" applyAlignment="1">
      <alignment vertical="top" wrapText="1"/>
    </xf>
    <xf numFmtId="0" fontId="39" fillId="2" borderId="39" xfId="0" applyFont="1" applyFill="1" applyBorder="1" applyAlignment="1">
      <alignment vertical="center"/>
    </xf>
    <xf numFmtId="0" fontId="39" fillId="2" borderId="1" xfId="0" applyFont="1" applyFill="1" applyBorder="1"/>
    <xf numFmtId="0" fontId="39" fillId="2" borderId="40" xfId="0" applyFont="1" applyFill="1" applyBorder="1"/>
    <xf numFmtId="0" fontId="35" fillId="7" borderId="41" xfId="0" applyFont="1" applyFill="1" applyBorder="1" applyAlignment="1">
      <alignment vertical="center"/>
    </xf>
    <xf numFmtId="0" fontId="35" fillId="7" borderId="0" xfId="0" applyFont="1" applyFill="1"/>
    <xf numFmtId="0" fontId="35" fillId="7" borderId="42" xfId="0" applyFont="1" applyFill="1" applyBorder="1"/>
    <xf numFmtId="0" fontId="49" fillId="3" borderId="41" xfId="2" applyFont="1" applyFill="1" applyBorder="1"/>
    <xf numFmtId="0" fontId="1" fillId="3" borderId="0" xfId="0" applyFont="1" applyFill="1"/>
    <xf numFmtId="0" fontId="1" fillId="3" borderId="42" xfId="0" applyFont="1" applyFill="1" applyBorder="1"/>
    <xf numFmtId="0" fontId="56" fillId="0" borderId="0" xfId="0" applyFont="1" applyAlignment="1">
      <alignment vertical="top" wrapText="1"/>
    </xf>
    <xf numFmtId="0" fontId="6" fillId="5" borderId="0" xfId="0" applyFont="1" applyFill="1" applyAlignment="1">
      <alignment indent="1"/>
    </xf>
    <xf numFmtId="0" fontId="52" fillId="5" borderId="0" xfId="0" applyFont="1" applyFill="1" applyAlignment="1">
      <alignment horizontal="center" vertical="center"/>
    </xf>
    <xf numFmtId="0" fontId="53" fillId="0" borderId="0" xfId="0" applyFont="1" applyAlignment="1">
      <alignment vertical="center"/>
    </xf>
    <xf numFmtId="0" fontId="55" fillId="8" borderId="0" xfId="0" applyFont="1" applyFill="1" applyAlignment="1">
      <alignment vertical="top" wrapText="1"/>
    </xf>
    <xf numFmtId="0" fontId="6" fillId="6" borderId="0" xfId="0" applyFont="1" applyFill="1" applyAlignment="1">
      <alignment horizontal="center"/>
    </xf>
    <xf numFmtId="0" fontId="6" fillId="5" borderId="0" xfId="0" applyFont="1" applyFill="1" applyAlignment="1">
      <alignment horizontal="center"/>
    </xf>
    <xf numFmtId="0" fontId="39" fillId="2" borderId="0" xfId="0" applyFont="1" applyFill="1" applyAlignment="1">
      <alignment vertical="center"/>
    </xf>
    <xf numFmtId="0" fontId="39" fillId="2" borderId="0" xfId="0" applyFont="1" applyFill="1"/>
    <xf numFmtId="0" fontId="35" fillId="7" borderId="0" xfId="0" applyFont="1" applyFill="1" applyAlignment="1">
      <alignment vertical="center" wrapText="1"/>
    </xf>
    <xf numFmtId="0" fontId="6" fillId="11" borderId="0" xfId="0" applyFont="1" applyFill="1" applyAlignment="1">
      <alignment horizontal="center"/>
    </xf>
    <xf numFmtId="0" fontId="6" fillId="12" borderId="0" xfId="0" applyFont="1" applyFill="1" applyAlignment="1">
      <alignment horizontal="center"/>
    </xf>
    <xf numFmtId="0" fontId="4" fillId="0" borderId="16" xfId="0" applyFont="1" applyBorder="1"/>
    <xf numFmtId="0" fontId="4" fillId="0" borderId="23" xfId="0" applyFont="1" applyBorder="1"/>
    <xf numFmtId="0" fontId="6" fillId="2" borderId="3" xfId="0" applyFont="1" applyFill="1" applyBorder="1" applyAlignment="1">
      <alignment horizontal="center"/>
    </xf>
    <xf numFmtId="0" fontId="6" fillId="2" borderId="2" xfId="0" applyFont="1" applyFill="1" applyBorder="1" applyAlignment="1">
      <alignment horizontal="center"/>
    </xf>
    <xf numFmtId="0" fontId="6" fillId="2" borderId="4" xfId="0" applyFont="1" applyFill="1" applyBorder="1" applyAlignment="1">
      <alignment horizontal="center"/>
    </xf>
    <xf numFmtId="0" fontId="0" fillId="0" borderId="0" xfId="0" applyAlignment="1">
      <alignment horizontal="left" vertical="center" wrapText="1"/>
    </xf>
    <xf numFmtId="0" fontId="0" fillId="0" borderId="21" xfId="0" applyBorder="1" applyAlignment="1">
      <alignment horizontal="left" vertical="center" wrapText="1"/>
    </xf>
    <xf numFmtId="0" fontId="6" fillId="6" borderId="3" xfId="0" applyFont="1" applyFill="1" applyBorder="1" applyAlignment="1">
      <alignment horizontal="center"/>
    </xf>
    <xf numFmtId="0" fontId="6" fillId="6" borderId="2" xfId="0" applyFont="1" applyFill="1" applyBorder="1" applyAlignment="1">
      <alignment horizontal="center"/>
    </xf>
    <xf numFmtId="0" fontId="6" fillId="6" borderId="4" xfId="0" applyFont="1" applyFill="1" applyBorder="1" applyAlignment="1">
      <alignment horizontal="center"/>
    </xf>
    <xf numFmtId="0" fontId="19" fillId="0" borderId="0" xfId="0" applyFont="1" applyAlignment="1">
      <alignment horizontal="center"/>
    </xf>
    <xf numFmtId="0" fontId="42" fillId="2" borderId="15" xfId="0" applyFont="1" applyFill="1" applyBorder="1" applyAlignment="1">
      <alignment vertical="center"/>
    </xf>
    <xf numFmtId="0" fontId="42" fillId="2" borderId="20" xfId="0" applyFont="1" applyFill="1" applyBorder="1" applyAlignment="1">
      <alignment vertical="center"/>
    </xf>
    <xf numFmtId="0" fontId="43" fillId="7" borderId="0" xfId="0" applyFont="1" applyFill="1" applyAlignment="1">
      <alignment vertical="center"/>
    </xf>
    <xf numFmtId="0" fontId="43" fillId="7" borderId="21" xfId="0" applyFont="1" applyFill="1" applyBorder="1" applyAlignment="1">
      <alignment vertical="center"/>
    </xf>
    <xf numFmtId="0" fontId="35" fillId="5" borderId="0" xfId="0" applyFont="1" applyFill="1" applyAlignment="1">
      <alignment vertical="center" wrapText="1"/>
    </xf>
    <xf numFmtId="0" fontId="35" fillId="5" borderId="0" xfId="0" applyFont="1" applyFill="1"/>
    <xf numFmtId="0" fontId="1" fillId="3" borderId="0" xfId="0" applyFont="1" applyFill="1" applyAlignment="1">
      <alignment wrapText="1"/>
    </xf>
    <xf numFmtId="0" fontId="1" fillId="3" borderId="7" xfId="0" applyFont="1" applyFill="1" applyBorder="1"/>
    <xf numFmtId="0" fontId="1" fillId="3" borderId="5" xfId="0" applyFont="1" applyFill="1" applyBorder="1"/>
    <xf numFmtId="0" fontId="1" fillId="3" borderId="31" xfId="0" applyFont="1" applyFill="1" applyBorder="1"/>
    <xf numFmtId="0" fontId="6" fillId="2" borderId="0" xfId="0" applyFont="1" applyFill="1" applyAlignment="1">
      <alignment indent="1"/>
    </xf>
    <xf numFmtId="0" fontId="52" fillId="2" borderId="0" xfId="0" applyFont="1" applyFill="1" applyAlignment="1">
      <alignment horizontal="center" vertical="center"/>
    </xf>
    <xf numFmtId="0" fontId="58" fillId="0" borderId="0" xfId="0" applyFont="1" applyAlignment="1">
      <alignment vertical="center"/>
    </xf>
    <xf numFmtId="0" fontId="1" fillId="3" borderId="18" xfId="0" applyFont="1" applyFill="1" applyBorder="1" applyAlignment="1">
      <alignment wrapText="1"/>
    </xf>
    <xf numFmtId="0" fontId="6" fillId="2" borderId="18" xfId="0" applyFont="1" applyFill="1" applyBorder="1" applyAlignment="1">
      <alignment horizontal="center"/>
    </xf>
    <xf numFmtId="0" fontId="6" fillId="11" borderId="18" xfId="0" applyFont="1" applyFill="1" applyBorder="1" applyAlignment="1">
      <alignment horizontal="center"/>
    </xf>
    <xf numFmtId="0" fontId="6" fillId="12" borderId="18" xfId="0" applyFont="1" applyFill="1" applyBorder="1" applyAlignment="1">
      <alignment horizontal="center"/>
    </xf>
    <xf numFmtId="0" fontId="6" fillId="6" borderId="18" xfId="0" applyFont="1" applyFill="1" applyBorder="1" applyAlignment="1">
      <alignment horizontal="center"/>
    </xf>
    <xf numFmtId="0" fontId="1" fillId="3" borderId="18" xfId="0" applyFont="1" applyFill="1" applyBorder="1"/>
    <xf numFmtId="0" fontId="1" fillId="3" borderId="21" xfId="0" applyFont="1" applyFill="1" applyBorder="1"/>
    <xf numFmtId="0" fontId="39" fillId="2" borderId="17" xfId="0" applyFont="1" applyFill="1" applyBorder="1" applyAlignment="1">
      <alignment horizontal="left" vertical="center" indent="1"/>
    </xf>
    <xf numFmtId="0" fontId="39" fillId="2" borderId="15" xfId="0" applyFont="1" applyFill="1" applyBorder="1" applyAlignment="1">
      <alignment horizontal="left" vertical="center" indent="1"/>
    </xf>
    <xf numFmtId="0" fontId="39" fillId="2" borderId="20" xfId="0" applyFont="1" applyFill="1" applyBorder="1" applyAlignment="1">
      <alignment horizontal="left" vertical="center" indent="1"/>
    </xf>
    <xf numFmtId="0" fontId="35" fillId="7" borderId="18" xfId="0" applyFont="1" applyFill="1" applyBorder="1" applyAlignment="1">
      <alignment horizontal="left" vertical="center" indent="1"/>
    </xf>
    <xf numFmtId="0" fontId="35" fillId="7" borderId="0" xfId="0" applyFont="1" applyFill="1" applyAlignment="1">
      <alignment horizontal="left" vertical="center" indent="1"/>
    </xf>
    <xf numFmtId="0" fontId="35" fillId="7" borderId="21" xfId="0" applyFont="1" applyFill="1" applyBorder="1" applyAlignment="1">
      <alignment horizontal="left" vertical="center" indent="1"/>
    </xf>
    <xf numFmtId="0" fontId="2" fillId="8" borderId="18" xfId="0" applyFont="1" applyFill="1" applyBorder="1" applyAlignment="1">
      <alignment vertical="top" wrapText="1"/>
    </xf>
    <xf numFmtId="0" fontId="2" fillId="0" borderId="0" xfId="0" applyFont="1"/>
    <xf numFmtId="0" fontId="2" fillId="0" borderId="21" xfId="0" applyFont="1" applyBorder="1"/>
    <xf numFmtId="0" fontId="2" fillId="0" borderId="18" xfId="0" applyFont="1" applyBorder="1"/>
    <xf numFmtId="0" fontId="42" fillId="2" borderId="27" xfId="0" applyFont="1" applyFill="1" applyBorder="1" applyAlignment="1">
      <alignment vertical="center"/>
    </xf>
    <xf numFmtId="0" fontId="1" fillId="3" borderId="18" xfId="0" applyFont="1" applyFill="1" applyBorder="1" applyAlignment="1">
      <alignment vertical="top" wrapText="1"/>
    </xf>
    <xf numFmtId="0" fontId="1" fillId="3" borderId="28" xfId="0" applyFont="1" applyFill="1" applyBorder="1"/>
    <xf numFmtId="0" fontId="43" fillId="7" borderId="18" xfId="0" applyFont="1" applyFill="1" applyBorder="1" applyAlignment="1">
      <alignment horizontal="left" vertical="center" wrapText="1" indent="1"/>
    </xf>
    <xf numFmtId="0" fontId="43" fillId="7" borderId="0" xfId="0" applyFont="1" applyFill="1" applyAlignment="1">
      <alignment horizontal="left" vertical="center" wrapText="1" indent="1"/>
    </xf>
    <xf numFmtId="0" fontId="43" fillId="7" borderId="21" xfId="0" applyFont="1" applyFill="1" applyBorder="1" applyAlignment="1">
      <alignment horizontal="left" vertical="center" wrapText="1" indent="1"/>
    </xf>
    <xf numFmtId="0" fontId="6" fillId="12" borderId="0" xfId="0" applyFont="1" applyFill="1" applyAlignment="1">
      <alignment indent="1"/>
    </xf>
    <xf numFmtId="0" fontId="52" fillId="12" borderId="0" xfId="0" applyFont="1" applyFill="1" applyAlignment="1">
      <alignment horizontal="center" vertical="center"/>
    </xf>
    <xf numFmtId="0" fontId="59" fillId="0" borderId="0" xfId="0" applyFont="1" applyAlignment="1">
      <alignment vertical="center"/>
    </xf>
    <xf numFmtId="0" fontId="56" fillId="0" borderId="0" xfId="0" applyFont="1" applyAlignment="1">
      <alignment horizontal="left" wrapText="1"/>
    </xf>
    <xf numFmtId="0" fontId="56" fillId="0" borderId="43" xfId="0" applyFont="1" applyBorder="1" applyAlignment="1">
      <alignment horizontal="left" vertical="center" wrapText="1"/>
    </xf>
    <xf numFmtId="0" fontId="56" fillId="0" borderId="44" xfId="0" applyFont="1" applyBorder="1" applyAlignment="1">
      <alignment horizontal="left" vertical="center" wrapText="1"/>
    </xf>
    <xf numFmtId="0" fontId="56" fillId="0" borderId="45" xfId="0" applyFont="1" applyBorder="1" applyAlignment="1">
      <alignment horizontal="left" vertical="center" wrapText="1"/>
    </xf>
    <xf numFmtId="0" fontId="56" fillId="0" borderId="41" xfId="0" applyFont="1" applyBorder="1" applyAlignment="1">
      <alignment horizontal="left" wrapText="1"/>
    </xf>
    <xf numFmtId="0" fontId="56" fillId="0" borderId="42" xfId="0" applyFont="1" applyBorder="1" applyAlignment="1">
      <alignment horizontal="left" wrapText="1"/>
    </xf>
    <xf numFmtId="0" fontId="56" fillId="0" borderId="41" xfId="0" applyFont="1" applyBorder="1" applyAlignment="1">
      <alignment horizontal="left" vertical="center" wrapText="1"/>
    </xf>
    <xf numFmtId="0" fontId="56" fillId="0" borderId="0" xfId="0" applyFont="1" applyAlignment="1">
      <alignment horizontal="left" vertical="center" wrapText="1"/>
    </xf>
    <xf numFmtId="0" fontId="56" fillId="0" borderId="42" xfId="0" applyFont="1" applyBorder="1" applyAlignment="1">
      <alignment horizontal="left" vertical="center" wrapText="1"/>
    </xf>
    <xf numFmtId="0" fontId="56" fillId="19" borderId="19" xfId="0" applyFont="1" applyFill="1" applyBorder="1" applyAlignment="1">
      <alignment horizontal="left" wrapText="1"/>
    </xf>
    <xf numFmtId="0" fontId="56" fillId="19" borderId="16" xfId="0" applyFont="1" applyFill="1" applyBorder="1" applyAlignment="1">
      <alignment horizontal="left" wrapText="1"/>
    </xf>
    <xf numFmtId="0" fontId="56" fillId="19" borderId="23" xfId="0" applyFont="1" applyFill="1" applyBorder="1" applyAlignment="1">
      <alignment horizontal="left" wrapText="1"/>
    </xf>
    <xf numFmtId="0" fontId="0" fillId="0" borderId="0" xfId="0" applyAlignment="1">
      <alignment horizontal="left" wrapText="1"/>
    </xf>
    <xf numFmtId="0" fontId="0" fillId="0" borderId="42" xfId="0" applyBorder="1" applyAlignment="1">
      <alignment horizontal="left" wrapText="1"/>
    </xf>
    <xf numFmtId="0" fontId="56" fillId="0" borderId="39" xfId="0" applyFont="1" applyBorder="1" applyAlignment="1">
      <alignment horizontal="left" wrapText="1"/>
    </xf>
    <xf numFmtId="0" fontId="56" fillId="0" borderId="1" xfId="0" applyFont="1" applyBorder="1" applyAlignment="1">
      <alignment horizontal="left" wrapText="1"/>
    </xf>
    <xf numFmtId="0" fontId="56" fillId="19" borderId="43" xfId="0" applyFont="1" applyFill="1" applyBorder="1" applyAlignment="1">
      <alignment horizontal="left" wrapText="1"/>
    </xf>
    <xf numFmtId="0" fontId="56" fillId="19" borderId="44" xfId="0" applyFont="1" applyFill="1" applyBorder="1" applyAlignment="1">
      <alignment horizontal="left" wrapText="1"/>
    </xf>
    <xf numFmtId="0" fontId="66" fillId="0" borderId="0" xfId="0" applyFont="1" applyAlignment="1">
      <alignment horizontal="left" wrapText="1"/>
    </xf>
    <xf numFmtId="0" fontId="66" fillId="0" borderId="42" xfId="0" applyFont="1" applyBorder="1" applyAlignment="1">
      <alignment horizontal="left" wrapText="1"/>
    </xf>
    <xf numFmtId="0" fontId="54" fillId="0" borderId="41" xfId="0" applyFont="1" applyBorder="1" applyAlignment="1">
      <alignment horizontal="left" wrapText="1"/>
    </xf>
    <xf numFmtId="0" fontId="54" fillId="0" borderId="0" xfId="0" applyFont="1" applyAlignment="1">
      <alignment horizontal="left" wrapText="1"/>
    </xf>
    <xf numFmtId="0" fontId="54" fillId="0" borderId="42" xfId="0" applyFont="1" applyBorder="1" applyAlignment="1">
      <alignment horizontal="left" wrapText="1"/>
    </xf>
    <xf numFmtId="0" fontId="4" fillId="0" borderId="0" xfId="0" applyFont="1" applyAlignment="1">
      <alignment horizontal="left" vertical="top" wrapText="1"/>
    </xf>
    <xf numFmtId="0" fontId="4" fillId="0" borderId="42" xfId="0" applyFont="1" applyBorder="1" applyAlignment="1">
      <alignment horizontal="left" vertical="top" wrapText="1"/>
    </xf>
    <xf numFmtId="0" fontId="56" fillId="0" borderId="42" xfId="0" applyFont="1" applyBorder="1" applyAlignment="1">
      <alignment vertical="top" wrapText="1"/>
    </xf>
    <xf numFmtId="170" fontId="56" fillId="0" borderId="0" xfId="0" applyNumberFormat="1" applyFont="1" applyAlignment="1">
      <alignment vertical="top" wrapText="1"/>
    </xf>
    <xf numFmtId="0" fontId="56" fillId="0" borderId="41" xfId="0" applyFont="1" applyBorder="1" applyAlignment="1">
      <alignment vertical="top" wrapText="1"/>
    </xf>
    <xf numFmtId="0" fontId="63" fillId="2" borderId="39" xfId="0" applyFont="1" applyFill="1" applyBorder="1" applyAlignment="1">
      <alignment vertical="center"/>
    </xf>
    <xf numFmtId="0" fontId="63" fillId="2" borderId="1" xfId="0" applyFont="1" applyFill="1" applyBorder="1"/>
    <xf numFmtId="0" fontId="63" fillId="2" borderId="40" xfId="0" applyFont="1" applyFill="1" applyBorder="1"/>
    <xf numFmtId="0" fontId="35" fillId="7" borderId="41" xfId="0" applyFont="1" applyFill="1" applyBorder="1" applyAlignment="1">
      <alignment vertical="center" wrapText="1"/>
    </xf>
    <xf numFmtId="0" fontId="1" fillId="3" borderId="41" xfId="0" applyFont="1" applyFill="1" applyBorder="1"/>
    <xf numFmtId="0" fontId="56" fillId="19" borderId="41" xfId="0" applyFont="1" applyFill="1" applyBorder="1" applyAlignment="1">
      <alignment horizontal="left" wrapText="1"/>
    </xf>
    <xf numFmtId="0" fontId="56" fillId="19" borderId="0" xfId="0" applyFont="1" applyFill="1" applyAlignment="1">
      <alignment horizontal="left" wrapText="1"/>
    </xf>
    <xf numFmtId="0" fontId="56" fillId="19" borderId="42" xfId="0" applyFont="1" applyFill="1" applyBorder="1" applyAlignment="1">
      <alignment horizontal="left" wrapText="1"/>
    </xf>
    <xf numFmtId="0" fontId="6" fillId="2" borderId="42" xfId="0" applyFont="1" applyFill="1" applyBorder="1" applyAlignment="1">
      <alignment horizontal="center"/>
    </xf>
    <xf numFmtId="0" fontId="1" fillId="3" borderId="41" xfId="0" applyFont="1" applyFill="1" applyBorder="1" applyAlignment="1">
      <alignment horizontal="left" indent="1"/>
    </xf>
    <xf numFmtId="0" fontId="1" fillId="3" borderId="0" xfId="0" applyFont="1" applyFill="1" applyAlignment="1">
      <alignment horizontal="left" indent="1"/>
    </xf>
    <xf numFmtId="0" fontId="1" fillId="3" borderId="42" xfId="0" applyFont="1" applyFill="1" applyBorder="1" applyAlignment="1">
      <alignment horizontal="left" indent="1"/>
    </xf>
    <xf numFmtId="0" fontId="64" fillId="0" borderId="41" xfId="0" applyFont="1" applyBorder="1" applyAlignment="1">
      <alignment vertical="top" wrapText="1"/>
    </xf>
    <xf numFmtId="0" fontId="0" fillId="0" borderId="42" xfId="0" applyBorder="1"/>
    <xf numFmtId="0" fontId="6" fillId="15" borderId="0" xfId="0" applyFont="1" applyFill="1" applyAlignment="1">
      <alignment indent="1"/>
    </xf>
    <xf numFmtId="0" fontId="52" fillId="15" borderId="0" xfId="0" applyFont="1" applyFill="1" applyAlignment="1">
      <alignment horizontal="center" vertical="center"/>
    </xf>
    <xf numFmtId="0" fontId="60" fillId="0" borderId="0" xfId="0" applyFont="1" applyAlignment="1">
      <alignment vertical="center"/>
    </xf>
    <xf numFmtId="0" fontId="0" fillId="0" borderId="43" xfId="0" applyBorder="1" applyAlignment="1">
      <alignment horizontal="left" wrapText="1"/>
    </xf>
    <xf numFmtId="0" fontId="0" fillId="0" borderId="44" xfId="0" applyBorder="1" applyAlignment="1">
      <alignment horizontal="left" wrapText="1"/>
    </xf>
    <xf numFmtId="0" fontId="0" fillId="0" borderId="45" xfId="0" applyBorder="1" applyAlignment="1">
      <alignment horizontal="left" wrapText="1"/>
    </xf>
    <xf numFmtId="0" fontId="42" fillId="2" borderId="17" xfId="0" applyFont="1" applyFill="1" applyBorder="1" applyAlignment="1">
      <alignment horizontal="left" vertical="center" indent="1"/>
    </xf>
    <xf numFmtId="0" fontId="42" fillId="2" borderId="15" xfId="0" applyFont="1" applyFill="1" applyBorder="1" applyAlignment="1">
      <alignment horizontal="left" vertical="center" indent="1"/>
    </xf>
    <xf numFmtId="0" fontId="42" fillId="2" borderId="20" xfId="0" applyFont="1" applyFill="1" applyBorder="1" applyAlignment="1">
      <alignment horizontal="left" vertical="center" indent="1"/>
    </xf>
    <xf numFmtId="0" fontId="1" fillId="3" borderId="18" xfId="0" applyFont="1" applyFill="1" applyBorder="1" applyAlignment="1">
      <alignment horizontal="left"/>
    </xf>
    <xf numFmtId="0" fontId="1" fillId="3" borderId="0" xfId="0" applyFont="1" applyFill="1" applyAlignment="1">
      <alignment horizontal="left"/>
    </xf>
    <xf numFmtId="0" fontId="1" fillId="3" borderId="21" xfId="0" applyFont="1" applyFill="1" applyBorder="1" applyAlignment="1">
      <alignment horizontal="left"/>
    </xf>
    <xf numFmtId="0" fontId="57" fillId="0" borderId="19" xfId="0" applyFont="1" applyBorder="1" applyAlignment="1">
      <alignment horizontal="left" vertical="top" wrapText="1"/>
    </xf>
    <xf numFmtId="0" fontId="57" fillId="0" borderId="16" xfId="0" applyFont="1" applyBorder="1" applyAlignment="1">
      <alignment horizontal="left" vertical="top" wrapText="1"/>
    </xf>
    <xf numFmtId="0" fontId="57" fillId="0" borderId="23" xfId="0" applyFont="1" applyBorder="1" applyAlignment="1">
      <alignment horizontal="left" vertical="top" wrapText="1"/>
    </xf>
    <xf numFmtId="0" fontId="57" fillId="0" borderId="18" xfId="0" applyFont="1" applyBorder="1" applyAlignment="1">
      <alignment vertical="top" wrapText="1"/>
    </xf>
    <xf numFmtId="0" fontId="57" fillId="0" borderId="0" xfId="0" applyFont="1" applyAlignment="1">
      <alignment vertical="top" wrapText="1"/>
    </xf>
    <xf numFmtId="0" fontId="57" fillId="0" borderId="21" xfId="0" applyFont="1" applyBorder="1" applyAlignment="1">
      <alignment vertical="top" wrapText="1"/>
    </xf>
    <xf numFmtId="0" fontId="5" fillId="0" borderId="0" xfId="0" applyFont="1"/>
    <xf numFmtId="0" fontId="56" fillId="0" borderId="19" xfId="0" applyFont="1" applyBorder="1" applyAlignment="1">
      <alignment horizontal="left" wrapText="1"/>
    </xf>
    <xf numFmtId="0" fontId="56" fillId="0" borderId="16" xfId="0" applyFont="1" applyBorder="1" applyAlignment="1">
      <alignment horizontal="left" wrapText="1"/>
    </xf>
    <xf numFmtId="0" fontId="56" fillId="0" borderId="23" xfId="0" applyFont="1" applyBorder="1" applyAlignment="1">
      <alignment horizontal="left" wrapText="1"/>
    </xf>
    <xf numFmtId="0" fontId="43" fillId="7" borderId="0" xfId="0" applyFont="1" applyFill="1" applyAlignment="1">
      <alignment vertical="center" wrapText="1"/>
    </xf>
    <xf numFmtId="0" fontId="43" fillId="7" borderId="21" xfId="0" applyFont="1" applyFill="1" applyBorder="1" applyAlignment="1">
      <alignment vertical="center" wrapText="1"/>
    </xf>
    <xf numFmtId="0" fontId="56" fillId="0" borderId="18" xfId="0" applyFont="1" applyBorder="1" applyAlignment="1">
      <alignment horizontal="left" wrapText="1"/>
    </xf>
    <xf numFmtId="0" fontId="56" fillId="0" borderId="21" xfId="0" applyFont="1" applyBorder="1" applyAlignment="1">
      <alignment horizontal="left" wrapText="1"/>
    </xf>
    <xf numFmtId="0" fontId="4" fillId="0" borderId="43" xfId="0" applyFont="1" applyBorder="1" applyAlignment="1">
      <alignment horizontal="left" wrapText="1"/>
    </xf>
    <xf numFmtId="0" fontId="4" fillId="0" borderId="44" xfId="0" applyFont="1" applyBorder="1" applyAlignment="1">
      <alignment horizontal="left" wrapText="1"/>
    </xf>
    <xf numFmtId="0" fontId="4" fillId="0" borderId="45" xfId="0" applyFont="1" applyBorder="1" applyAlignment="1">
      <alignment horizontal="left" wrapText="1"/>
    </xf>
    <xf numFmtId="0" fontId="35" fillId="5" borderId="41" xfId="0" applyFont="1" applyFill="1" applyBorder="1" applyAlignment="1">
      <alignment vertical="center" wrapText="1"/>
    </xf>
    <xf numFmtId="0" fontId="35" fillId="5" borderId="42" xfId="0" applyFont="1" applyFill="1" applyBorder="1"/>
    <xf numFmtId="0" fontId="1" fillId="3" borderId="41" xfId="0" applyFont="1" applyFill="1" applyBorder="1" applyAlignment="1">
      <alignment wrapText="1"/>
    </xf>
    <xf numFmtId="0" fontId="1" fillId="3" borderId="42" xfId="0" applyFont="1" applyFill="1" applyBorder="1" applyAlignment="1">
      <alignment wrapText="1"/>
    </xf>
    <xf numFmtId="0" fontId="6" fillId="5" borderId="18" xfId="0" applyFont="1" applyFill="1" applyBorder="1" applyAlignment="1">
      <alignment horizontal="center"/>
    </xf>
    <xf numFmtId="0" fontId="6" fillId="9" borderId="18" xfId="0" applyFont="1" applyFill="1" applyBorder="1" applyAlignment="1">
      <alignment horizontal="center"/>
    </xf>
    <xf numFmtId="0" fontId="6" fillId="9" borderId="0" xfId="0" applyFont="1" applyFill="1" applyAlignment="1">
      <alignment horizontal="center"/>
    </xf>
    <xf numFmtId="0" fontId="29" fillId="10" borderId="18" xfId="0" applyFont="1" applyFill="1" applyBorder="1" applyAlignment="1">
      <alignment horizontal="center"/>
    </xf>
    <xf numFmtId="0" fontId="29" fillId="10" borderId="0" xfId="0" applyFont="1" applyFill="1" applyAlignment="1">
      <alignment horizontal="center"/>
    </xf>
    <xf numFmtId="0" fontId="4" fillId="0" borderId="0" xfId="0" applyFont="1" applyAlignment="1">
      <alignment vertical="top" wrapText="1"/>
    </xf>
    <xf numFmtId="0" fontId="4" fillId="0" borderId="0" xfId="0" applyFont="1"/>
    <xf numFmtId="0" fontId="4" fillId="0" borderId="21" xfId="0" applyFont="1" applyBorder="1"/>
    <xf numFmtId="0" fontId="56" fillId="0" borderId="18" xfId="0" applyFont="1" applyBorder="1" applyAlignment="1">
      <alignment horizontal="left" vertical="top" wrapText="1"/>
    </xf>
    <xf numFmtId="0" fontId="56" fillId="0" borderId="0" xfId="0" applyFont="1" applyAlignment="1">
      <alignment horizontal="left" vertical="top" wrapText="1"/>
    </xf>
    <xf numFmtId="0" fontId="1" fillId="13" borderId="18" xfId="0" applyFont="1" applyFill="1" applyBorder="1" applyAlignment="1">
      <alignment horizontal="left"/>
    </xf>
    <xf numFmtId="0" fontId="1" fillId="13" borderId="0" xfId="0" applyFont="1" applyFill="1" applyAlignment="1">
      <alignment horizontal="left"/>
    </xf>
    <xf numFmtId="0" fontId="1" fillId="13" borderId="18" xfId="0" applyFont="1" applyFill="1" applyBorder="1"/>
    <xf numFmtId="0" fontId="1" fillId="13" borderId="0" xfId="0" applyFont="1" applyFill="1"/>
    <xf numFmtId="0" fontId="56" fillId="19" borderId="18" xfId="0" applyFont="1" applyFill="1" applyBorder="1" applyAlignment="1">
      <alignment horizontal="left" wrapText="1"/>
    </xf>
    <xf numFmtId="0" fontId="56" fillId="19" borderId="21" xfId="0" applyFont="1" applyFill="1" applyBorder="1" applyAlignment="1">
      <alignment horizontal="left" wrapText="1"/>
    </xf>
    <xf numFmtId="0" fontId="4" fillId="0" borderId="19" xfId="0" applyFont="1" applyBorder="1" applyAlignment="1">
      <alignment horizontal="left" wrapText="1"/>
    </xf>
    <xf numFmtId="0" fontId="4" fillId="0" borderId="16" xfId="0" applyFont="1" applyBorder="1" applyAlignment="1">
      <alignment horizontal="left" wrapText="1"/>
    </xf>
    <xf numFmtId="0" fontId="4" fillId="0" borderId="23" xfId="0" applyFont="1" applyBorder="1" applyAlignment="1">
      <alignment horizontal="left" wrapText="1"/>
    </xf>
    <xf numFmtId="0" fontId="6" fillId="16" borderId="0" xfId="0" applyFont="1" applyFill="1" applyAlignment="1">
      <alignment indent="1"/>
    </xf>
    <xf numFmtId="0" fontId="52" fillId="16" borderId="0" xfId="0" applyFont="1" applyFill="1" applyAlignment="1">
      <alignment horizontal="center" vertical="center"/>
    </xf>
    <xf numFmtId="0" fontId="61" fillId="0" borderId="0" xfId="0" applyFont="1" applyAlignment="1">
      <alignment vertical="center"/>
    </xf>
    <xf numFmtId="0" fontId="56" fillId="0" borderId="21" xfId="0" applyFont="1" applyBorder="1" applyAlignment="1">
      <alignment horizontal="left" vertical="top" wrapText="1"/>
    </xf>
    <xf numFmtId="0" fontId="0" fillId="0" borderId="18" xfId="0" applyBorder="1" applyAlignment="1">
      <alignment horizontal="left" wrapText="1"/>
    </xf>
    <xf numFmtId="0" fontId="38" fillId="19" borderId="19" xfId="0" applyFont="1" applyFill="1" applyBorder="1" applyAlignment="1">
      <alignment horizontal="left" wrapText="1"/>
    </xf>
    <xf numFmtId="0" fontId="38" fillId="19" borderId="16" xfId="0" applyFont="1" applyFill="1" applyBorder="1" applyAlignment="1">
      <alignment horizontal="left" wrapText="1"/>
    </xf>
    <xf numFmtId="0" fontId="3" fillId="0" borderId="46" xfId="0" applyFont="1" applyBorder="1" applyAlignment="1">
      <alignment horizontal="left" wrapText="1"/>
    </xf>
    <xf numFmtId="0" fontId="3" fillId="0" borderId="1" xfId="0" applyFont="1" applyBorder="1" applyAlignment="1">
      <alignment horizontal="left" wrapText="1"/>
    </xf>
    <xf numFmtId="0" fontId="0" fillId="0" borderId="17" xfId="0" applyBorder="1" applyAlignment="1">
      <alignment horizontal="left" wrapText="1"/>
    </xf>
    <xf numFmtId="0" fontId="0" fillId="0" borderId="15" xfId="0" applyBorder="1" applyAlignment="1">
      <alignment horizontal="left" wrapText="1"/>
    </xf>
    <xf numFmtId="0" fontId="0" fillId="0" borderId="20" xfId="0" applyBorder="1" applyAlignment="1">
      <alignment horizontal="left" wrapText="1"/>
    </xf>
    <xf numFmtId="0" fontId="38" fillId="18" borderId="37" xfId="0" applyFont="1" applyFill="1" applyBorder="1" applyAlignment="1">
      <alignment horizontal="center" wrapText="1"/>
    </xf>
    <xf numFmtId="0" fontId="56" fillId="0" borderId="37" xfId="0" applyFont="1" applyBorder="1" applyAlignment="1">
      <alignment horizontal="left" vertical="top" wrapText="1"/>
    </xf>
    <xf numFmtId="0" fontId="56" fillId="19" borderId="18" xfId="0" applyFont="1" applyFill="1" applyBorder="1" applyAlignment="1">
      <alignment horizontal="left" vertical="center" wrapText="1"/>
    </xf>
    <xf numFmtId="0" fontId="56" fillId="19" borderId="0" xfId="0" applyFont="1" applyFill="1" applyAlignment="1">
      <alignment horizontal="left" vertical="center" wrapText="1"/>
    </xf>
    <xf numFmtId="0" fontId="56" fillId="19" borderId="21" xfId="0" applyFont="1" applyFill="1" applyBorder="1" applyAlignment="1">
      <alignment horizontal="left" vertical="center" wrapText="1"/>
    </xf>
    <xf numFmtId="0" fontId="0" fillId="0" borderId="19" xfId="0" applyBorder="1" applyAlignment="1">
      <alignment wrapText="1"/>
    </xf>
    <xf numFmtId="0" fontId="0" fillId="0" borderId="16" xfId="0" applyBorder="1" applyAlignment="1">
      <alignment wrapText="1"/>
    </xf>
    <xf numFmtId="0" fontId="0" fillId="0" borderId="23" xfId="0" applyBorder="1" applyAlignment="1">
      <alignment wrapText="1"/>
    </xf>
    <xf numFmtId="0" fontId="21" fillId="0" borderId="18" xfId="0" applyFont="1" applyBorder="1" applyAlignment="1">
      <alignment wrapText="1"/>
    </xf>
    <xf numFmtId="0" fontId="21" fillId="0" borderId="0" xfId="0" applyFont="1" applyAlignment="1">
      <alignment wrapText="1"/>
    </xf>
    <xf numFmtId="0" fontId="21" fillId="0" borderId="21" xfId="0" applyFont="1" applyBorder="1" applyAlignment="1">
      <alignment wrapText="1"/>
    </xf>
    <xf numFmtId="0" fontId="0" fillId="0" borderId="18" xfId="0" applyBorder="1" applyAlignment="1">
      <alignment wrapText="1"/>
    </xf>
    <xf numFmtId="0" fontId="0" fillId="0" borderId="21" xfId="0" applyBorder="1" applyAlignment="1">
      <alignment wrapText="1"/>
    </xf>
    <xf numFmtId="0" fontId="1" fillId="3" borderId="41" xfId="0" applyFont="1" applyFill="1" applyBorder="1" applyAlignment="1">
      <alignment vertical="top" wrapText="1"/>
    </xf>
    <xf numFmtId="0" fontId="1" fillId="3" borderId="0" xfId="0" applyFont="1" applyFill="1" applyAlignment="1">
      <alignment vertical="top" wrapText="1"/>
    </xf>
    <xf numFmtId="0" fontId="2" fillId="0" borderId="41" xfId="0" applyFont="1" applyBorder="1" applyAlignment="1">
      <alignment wrapText="1"/>
    </xf>
    <xf numFmtId="0" fontId="42" fillId="2" borderId="39" xfId="0" applyFont="1" applyFill="1" applyBorder="1" applyAlignment="1">
      <alignment horizontal="left" vertical="center" indent="1"/>
    </xf>
    <xf numFmtId="0" fontId="42" fillId="2" borderId="1" xfId="0" applyFont="1" applyFill="1" applyBorder="1" applyAlignment="1">
      <alignment horizontal="left" vertical="center" indent="1"/>
    </xf>
    <xf numFmtId="0" fontId="43" fillId="7" borderId="41" xfId="0" applyFont="1" applyFill="1" applyBorder="1" applyAlignment="1">
      <alignment horizontal="left" vertical="center" wrapText="1" indent="1"/>
    </xf>
    <xf numFmtId="0" fontId="43" fillId="7" borderId="42" xfId="0" applyFont="1" applyFill="1" applyBorder="1" applyAlignment="1">
      <alignment horizontal="left" vertical="center" wrapText="1" indent="1"/>
    </xf>
    <xf numFmtId="0" fontId="6" fillId="17" borderId="0" xfId="0" applyFont="1" applyFill="1" applyAlignment="1">
      <alignment indent="1"/>
    </xf>
    <xf numFmtId="0" fontId="52" fillId="17" borderId="0" xfId="0" applyFont="1" applyFill="1" applyAlignment="1">
      <alignment horizontal="center" vertical="center"/>
    </xf>
    <xf numFmtId="0" fontId="62" fillId="0" borderId="0" xfId="0" applyFont="1" applyAlignment="1">
      <alignment vertical="center"/>
    </xf>
    <xf numFmtId="0" fontId="44" fillId="7" borderId="0" xfId="0" applyFont="1" applyFill="1" applyAlignment="1">
      <alignment vertical="center"/>
    </xf>
    <xf numFmtId="0" fontId="43" fillId="7" borderId="18" xfId="0" applyFont="1" applyFill="1" applyBorder="1" applyAlignment="1">
      <alignment horizontal="left" vertical="center" indent="1"/>
    </xf>
    <xf numFmtId="0" fontId="43" fillId="7" borderId="0" xfId="0" applyFont="1" applyFill="1" applyAlignment="1">
      <alignment horizontal="left" vertical="center" indent="1"/>
    </xf>
    <xf numFmtId="0" fontId="43" fillId="7" borderId="21" xfId="0" applyFont="1" applyFill="1" applyBorder="1" applyAlignment="1">
      <alignment horizontal="left" vertical="center" indent="1"/>
    </xf>
    <xf numFmtId="0" fontId="44" fillId="7" borderId="21" xfId="0" applyFont="1" applyFill="1" applyBorder="1" applyAlignment="1">
      <alignment vertical="center"/>
    </xf>
    <xf numFmtId="0" fontId="0" fillId="0" borderId="21" xfId="0" applyBorder="1"/>
    <xf numFmtId="0" fontId="71" fillId="0" borderId="0" xfId="0" applyFont="1"/>
    <xf numFmtId="0" fontId="72" fillId="0" borderId="0" xfId="0" applyFont="1"/>
    <xf numFmtId="0" fontId="1" fillId="0" borderId="0" xfId="0" applyFont="1" applyFill="1"/>
    <xf numFmtId="0" fontId="0" fillId="0" borderId="0" xfId="0" applyFill="1"/>
    <xf numFmtId="0" fontId="71" fillId="0" borderId="0" xfId="0" applyFont="1" applyAlignment="1">
      <alignment horizontal="left" wrapText="1"/>
    </xf>
    <xf numFmtId="0" fontId="38" fillId="0" borderId="0" xfId="0" applyFont="1" applyFill="1"/>
    <xf numFmtId="2" fontId="8" fillId="0" borderId="0" xfId="0" applyNumberFormat="1" applyFont="1" applyFill="1"/>
    <xf numFmtId="17" fontId="0" fillId="0" borderId="0" xfId="0" applyNumberFormat="1" applyFill="1"/>
    <xf numFmtId="0" fontId="3" fillId="0" borderId="0" xfId="0" applyFont="1" applyFill="1"/>
  </cellXfs>
  <cellStyles count="3">
    <cellStyle name="Comma" xfId="1" builtinId="3"/>
    <cellStyle name="Hyperlink" xfId="2" builtinId="8"/>
    <cellStyle name="Normal" xfId="0" builtinId="0"/>
  </cellStyles>
  <dxfs count="17">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s>
  <tableStyles count="0" defaultTableStyle="TableStyleMedium2" defaultPivotStyle="PivotStyleLight16"/>
  <colors>
    <mruColors>
      <color rgb="FFB7B7B7"/>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1F9AA8"/>
              </a:solidFill>
              <a:ln>
                <a:noFill/>
              </a:ln>
              <a:effectLst/>
            </c:spPr>
            <c:extLst>
              <c:ext xmlns:c16="http://schemas.microsoft.com/office/drawing/2014/chart" uri="{C3380CC4-5D6E-409C-BE32-E72D297353CC}">
                <c16:uniqueId val="{00000001-070D-409A-A90C-1BAEE7284BFB}"/>
              </c:ext>
            </c:extLst>
          </c:dPt>
          <c:dPt>
            <c:idx val="1"/>
            <c:invertIfNegative val="0"/>
            <c:bubble3D val="0"/>
            <c:spPr>
              <a:solidFill>
                <a:srgbClr val="1F9AA8"/>
              </a:solidFill>
              <a:ln>
                <a:noFill/>
              </a:ln>
              <a:effectLst/>
            </c:spPr>
            <c:extLst>
              <c:ext xmlns:c16="http://schemas.microsoft.com/office/drawing/2014/chart" uri="{C3380CC4-5D6E-409C-BE32-E72D297353CC}">
                <c16:uniqueId val="{00000002-070D-409A-A90C-1BAEE7284BFB}"/>
              </c:ext>
            </c:extLst>
          </c:dPt>
          <c:dPt>
            <c:idx val="2"/>
            <c:invertIfNegative val="0"/>
            <c:bubble3D val="0"/>
            <c:spPr>
              <a:solidFill>
                <a:srgbClr val="1F9AA8"/>
              </a:solidFill>
              <a:ln>
                <a:noFill/>
              </a:ln>
              <a:effectLst/>
            </c:spPr>
            <c:extLst>
              <c:ext xmlns:c16="http://schemas.microsoft.com/office/drawing/2014/chart" uri="{C3380CC4-5D6E-409C-BE32-E72D297353CC}">
                <c16:uniqueId val="{00000003-070D-409A-A90C-1BAEE7284BFB}"/>
              </c:ext>
            </c:extLst>
          </c:dPt>
          <c:dPt>
            <c:idx val="3"/>
            <c:invertIfNegative val="0"/>
            <c:bubble3D val="0"/>
            <c:spPr>
              <a:solidFill>
                <a:srgbClr val="548235"/>
              </a:solidFill>
              <a:ln>
                <a:noFill/>
              </a:ln>
              <a:effectLst/>
            </c:spPr>
            <c:extLst>
              <c:ext xmlns:c16="http://schemas.microsoft.com/office/drawing/2014/chart" uri="{C3380CC4-5D6E-409C-BE32-E72D297353CC}">
                <c16:uniqueId val="{00000004-070D-409A-A90C-1BAEE7284BFB}"/>
              </c:ext>
            </c:extLst>
          </c:dPt>
          <c:dPt>
            <c:idx val="4"/>
            <c:invertIfNegative val="0"/>
            <c:bubble3D val="0"/>
            <c:spPr>
              <a:solidFill>
                <a:srgbClr val="548235"/>
              </a:solidFill>
              <a:ln>
                <a:noFill/>
              </a:ln>
              <a:effectLst/>
            </c:spPr>
            <c:extLst>
              <c:ext xmlns:c16="http://schemas.microsoft.com/office/drawing/2014/chart" uri="{C3380CC4-5D6E-409C-BE32-E72D297353CC}">
                <c16:uniqueId val="{00000005-070D-409A-A90C-1BAEE7284BFB}"/>
              </c:ext>
            </c:extLst>
          </c:dPt>
          <c:dPt>
            <c:idx val="5"/>
            <c:invertIfNegative val="0"/>
            <c:bubble3D val="0"/>
            <c:spPr>
              <a:solidFill>
                <a:srgbClr val="548235"/>
              </a:solidFill>
              <a:ln>
                <a:noFill/>
              </a:ln>
              <a:effectLst/>
            </c:spPr>
            <c:extLst>
              <c:ext xmlns:c16="http://schemas.microsoft.com/office/drawing/2014/chart" uri="{C3380CC4-5D6E-409C-BE32-E72D297353CC}">
                <c16:uniqueId val="{00000006-070D-409A-A90C-1BAEE7284BFB}"/>
              </c:ext>
            </c:extLst>
          </c:dPt>
          <c:dPt>
            <c:idx val="6"/>
            <c:invertIfNegative val="0"/>
            <c:bubble3D val="0"/>
            <c:spPr>
              <a:solidFill>
                <a:srgbClr val="548235"/>
              </a:solidFill>
              <a:ln>
                <a:noFill/>
              </a:ln>
              <a:effectLst/>
            </c:spPr>
            <c:extLst>
              <c:ext xmlns:c16="http://schemas.microsoft.com/office/drawing/2014/chart" uri="{C3380CC4-5D6E-409C-BE32-E72D297353CC}">
                <c16:uniqueId val="{00000007-070D-409A-A90C-1BAEE7284BFB}"/>
              </c:ext>
            </c:extLst>
          </c:dPt>
          <c:dPt>
            <c:idx val="7"/>
            <c:invertIfNegative val="0"/>
            <c:bubble3D val="0"/>
            <c:spPr>
              <a:solidFill>
                <a:srgbClr val="548235"/>
              </a:solidFill>
              <a:ln>
                <a:noFill/>
              </a:ln>
              <a:effectLst/>
            </c:spPr>
            <c:extLst>
              <c:ext xmlns:c16="http://schemas.microsoft.com/office/drawing/2014/chart" uri="{C3380CC4-5D6E-409C-BE32-E72D297353CC}">
                <c16:uniqueId val="{00000008-070D-409A-A90C-1BAEE7284BF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'Business Performance Scorecard'!$K$157:$K$164</c:f>
              <c:numCache>
                <c:formatCode>General</c:formatCode>
                <c:ptCount val="8"/>
                <c:pt idx="0">
                  <c:v>25003</c:v>
                </c:pt>
                <c:pt idx="1">
                  <c:v>35631</c:v>
                </c:pt>
                <c:pt idx="2">
                  <c:v>60348</c:v>
                </c:pt>
                <c:pt idx="3">
                  <c:v>84810.860956499993</c:v>
                </c:pt>
                <c:pt idx="4">
                  <c:v>118563.4783377625</c:v>
                </c:pt>
                <c:pt idx="5">
                  <c:v>156797.64414804938</c:v>
                </c:pt>
                <c:pt idx="6">
                  <c:v>198928.52430378739</c:v>
                </c:pt>
                <c:pt idx="7">
                  <c:v>246011.83189515059</c:v>
                </c:pt>
              </c:numCache>
            </c:numRef>
          </c:val>
          <c:extLst>
            <c:ext xmlns:c15="http://schemas.microsoft.com/office/drawing/2012/chart" uri="{02D57815-91ED-43cb-92C2-25804820EDAC}">
              <c15:filteredCategoryTitle>
                <c15:cat>
                  <c:strRef>
                    <c:extLst>
                      <c:ext uri="{02D57815-91ED-43cb-92C2-25804820EDAC}">
                        <c15:formulaRef>
                          <c15:sqref>'Business Performance Scorecard'!$J$157:$J$164</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00-070D-409A-A90C-1BAEE7284BFB}"/>
            </c:ext>
          </c:extLst>
        </c:ser>
        <c:dLbls>
          <c:showLegendKey val="0"/>
          <c:showVal val="0"/>
          <c:showCatName val="0"/>
          <c:showSerName val="0"/>
          <c:showPercent val="0"/>
          <c:showBubbleSize val="0"/>
        </c:dLbls>
        <c:gapWidth val="40"/>
        <c:axId val="45580239"/>
        <c:axId val="45582639"/>
      </c:barChart>
      <c:catAx>
        <c:axId val="4558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404040"/>
                </a:solidFill>
                <a:latin typeface="+mn-lt"/>
                <a:ea typeface="+mn-ea"/>
                <a:cs typeface="+mn-cs"/>
              </a:defRPr>
            </a:pPr>
            <a:endParaRPr lang="en-US"/>
          </a:p>
        </c:txPr>
        <c:crossAx val="45582639"/>
        <c:crosses val="autoZero"/>
        <c:auto val="1"/>
        <c:lblAlgn val="ctr"/>
        <c:lblOffset val="100"/>
        <c:noMultiLvlLbl val="0"/>
      </c:catAx>
      <c:valAx>
        <c:axId val="45582639"/>
        <c:scaling>
          <c:orientation val="minMax"/>
        </c:scaling>
        <c:delete val="1"/>
        <c:axPos val="b"/>
        <c:numFmt formatCode="General" sourceLinked="1"/>
        <c:majorTickMark val="none"/>
        <c:minorTickMark val="none"/>
        <c:tickLblPos val="nextTo"/>
        <c:crossAx val="4558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1F9AA8"/>
              </a:solidFill>
              <a:ln>
                <a:noFill/>
              </a:ln>
              <a:effectLst/>
            </c:spPr>
            <c:extLst>
              <c:ext xmlns:c16="http://schemas.microsoft.com/office/drawing/2014/chart" uri="{C3380CC4-5D6E-409C-BE32-E72D297353CC}">
                <c16:uniqueId val="{00000001-931B-4FF6-96EF-7B5FB82A79A7}"/>
              </c:ext>
            </c:extLst>
          </c:dPt>
          <c:dPt>
            <c:idx val="1"/>
            <c:invertIfNegative val="0"/>
            <c:bubble3D val="0"/>
            <c:spPr>
              <a:solidFill>
                <a:srgbClr val="1F9AA8"/>
              </a:solidFill>
              <a:ln>
                <a:noFill/>
              </a:ln>
              <a:effectLst/>
            </c:spPr>
            <c:extLst>
              <c:ext xmlns:c16="http://schemas.microsoft.com/office/drawing/2014/chart" uri="{C3380CC4-5D6E-409C-BE32-E72D297353CC}">
                <c16:uniqueId val="{00000002-931B-4FF6-96EF-7B5FB82A79A7}"/>
              </c:ext>
            </c:extLst>
          </c:dPt>
          <c:dPt>
            <c:idx val="2"/>
            <c:invertIfNegative val="0"/>
            <c:bubble3D val="0"/>
            <c:spPr>
              <a:solidFill>
                <a:srgbClr val="1F9AA8"/>
              </a:solidFill>
              <a:ln>
                <a:noFill/>
              </a:ln>
              <a:effectLst/>
            </c:spPr>
            <c:extLst>
              <c:ext xmlns:c16="http://schemas.microsoft.com/office/drawing/2014/chart" uri="{C3380CC4-5D6E-409C-BE32-E72D297353CC}">
                <c16:uniqueId val="{00000003-931B-4FF6-96EF-7B5FB82A79A7}"/>
              </c:ext>
            </c:extLst>
          </c:dPt>
          <c:dPt>
            <c:idx val="3"/>
            <c:invertIfNegative val="0"/>
            <c:bubble3D val="0"/>
            <c:spPr>
              <a:solidFill>
                <a:srgbClr val="548235"/>
              </a:solidFill>
              <a:ln>
                <a:noFill/>
              </a:ln>
              <a:effectLst/>
            </c:spPr>
            <c:extLst>
              <c:ext xmlns:c16="http://schemas.microsoft.com/office/drawing/2014/chart" uri="{C3380CC4-5D6E-409C-BE32-E72D297353CC}">
                <c16:uniqueId val="{00000004-931B-4FF6-96EF-7B5FB82A79A7}"/>
              </c:ext>
            </c:extLst>
          </c:dPt>
          <c:dPt>
            <c:idx val="4"/>
            <c:invertIfNegative val="0"/>
            <c:bubble3D val="0"/>
            <c:spPr>
              <a:solidFill>
                <a:srgbClr val="548235"/>
              </a:solidFill>
              <a:ln>
                <a:noFill/>
              </a:ln>
              <a:effectLst/>
            </c:spPr>
            <c:extLst>
              <c:ext xmlns:c16="http://schemas.microsoft.com/office/drawing/2014/chart" uri="{C3380CC4-5D6E-409C-BE32-E72D297353CC}">
                <c16:uniqueId val="{00000005-931B-4FF6-96EF-7B5FB82A79A7}"/>
              </c:ext>
            </c:extLst>
          </c:dPt>
          <c:dPt>
            <c:idx val="5"/>
            <c:invertIfNegative val="0"/>
            <c:bubble3D val="0"/>
            <c:spPr>
              <a:solidFill>
                <a:srgbClr val="548235"/>
              </a:solidFill>
              <a:ln>
                <a:noFill/>
              </a:ln>
              <a:effectLst/>
            </c:spPr>
            <c:extLst>
              <c:ext xmlns:c16="http://schemas.microsoft.com/office/drawing/2014/chart" uri="{C3380CC4-5D6E-409C-BE32-E72D297353CC}">
                <c16:uniqueId val="{00000006-931B-4FF6-96EF-7B5FB82A79A7}"/>
              </c:ext>
            </c:extLst>
          </c:dPt>
          <c:dPt>
            <c:idx val="6"/>
            <c:invertIfNegative val="0"/>
            <c:bubble3D val="0"/>
            <c:spPr>
              <a:solidFill>
                <a:srgbClr val="548235"/>
              </a:solidFill>
              <a:ln>
                <a:noFill/>
              </a:ln>
              <a:effectLst/>
            </c:spPr>
            <c:extLst>
              <c:ext xmlns:c16="http://schemas.microsoft.com/office/drawing/2014/chart" uri="{C3380CC4-5D6E-409C-BE32-E72D297353CC}">
                <c16:uniqueId val="{00000007-931B-4FF6-96EF-7B5FB82A79A7}"/>
              </c:ext>
            </c:extLst>
          </c:dPt>
          <c:dPt>
            <c:idx val="7"/>
            <c:invertIfNegative val="0"/>
            <c:bubble3D val="0"/>
            <c:spPr>
              <a:solidFill>
                <a:srgbClr val="548235"/>
              </a:solidFill>
              <a:ln>
                <a:noFill/>
              </a:ln>
              <a:effectLst/>
            </c:spPr>
            <c:extLst>
              <c:ext xmlns:c16="http://schemas.microsoft.com/office/drawing/2014/chart" uri="{C3380CC4-5D6E-409C-BE32-E72D297353CC}">
                <c16:uniqueId val="{00000008-931B-4FF6-96EF-7B5FB82A79A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'Business Performance Scorecard'!$K$166:$K$173</c:f>
              <c:numCache>
                <c:formatCode>General</c:formatCode>
                <c:ptCount val="8"/>
                <c:pt idx="0">
                  <c:v>1949.26</c:v>
                </c:pt>
                <c:pt idx="1">
                  <c:v>2359.41</c:v>
                </c:pt>
                <c:pt idx="2">
                  <c:v>3374.1400000000003</c:v>
                </c:pt>
                <c:pt idx="3">
                  <c:v>5761.7376746432519</c:v>
                </c:pt>
                <c:pt idx="4">
                  <c:v>8195.5298159463509</c:v>
                </c:pt>
                <c:pt idx="5">
                  <c:v>10726.00828647971</c:v>
                </c:pt>
                <c:pt idx="6">
                  <c:v>13286.769345368069</c:v>
                </c:pt>
                <c:pt idx="7">
                  <c:v>16306.53528302409</c:v>
                </c:pt>
              </c:numCache>
            </c:numRef>
          </c:val>
          <c:extLst>
            <c:ext xmlns:c15="http://schemas.microsoft.com/office/drawing/2012/chart" uri="{02D57815-91ED-43cb-92C2-25804820EDAC}">
              <c15:filteredCategoryTitle>
                <c15:cat>
                  <c:strRef>
                    <c:extLst>
                      <c:ext uri="{02D57815-91ED-43cb-92C2-25804820EDAC}">
                        <c15:formulaRef>
                          <c15:sqref>'Business Performance Scorecard'!$J$166:$J$173</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00-931B-4FF6-96EF-7B5FB82A79A7}"/>
            </c:ext>
          </c:extLst>
        </c:ser>
        <c:dLbls>
          <c:showLegendKey val="0"/>
          <c:showVal val="0"/>
          <c:showCatName val="0"/>
          <c:showSerName val="0"/>
          <c:showPercent val="0"/>
          <c:showBubbleSize val="0"/>
        </c:dLbls>
        <c:gapWidth val="40"/>
        <c:axId val="421523647"/>
        <c:axId val="421524127"/>
      </c:barChart>
      <c:catAx>
        <c:axId val="42152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404040"/>
                </a:solidFill>
                <a:latin typeface="+mn-lt"/>
                <a:ea typeface="+mn-ea"/>
                <a:cs typeface="+mn-cs"/>
              </a:defRPr>
            </a:pPr>
            <a:endParaRPr lang="en-US"/>
          </a:p>
        </c:txPr>
        <c:crossAx val="421524127"/>
        <c:crosses val="autoZero"/>
        <c:auto val="1"/>
        <c:lblAlgn val="ctr"/>
        <c:lblOffset val="100"/>
        <c:noMultiLvlLbl val="0"/>
      </c:catAx>
      <c:valAx>
        <c:axId val="421524127"/>
        <c:scaling>
          <c:orientation val="minMax"/>
        </c:scaling>
        <c:delete val="1"/>
        <c:axPos val="b"/>
        <c:numFmt formatCode="General" sourceLinked="1"/>
        <c:majorTickMark val="none"/>
        <c:minorTickMark val="none"/>
        <c:tickLblPos val="nextTo"/>
        <c:crossAx val="42152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Poonawalla Fincorp</c:v>
          </c:tx>
          <c:spPr>
            <a:solidFill>
              <a:schemeClr val="accent1"/>
            </a:solidFill>
            <a:ln>
              <a:noFill/>
            </a:ln>
            <a:effectLst/>
          </c:spPr>
          <c:invertIfNegative val="0"/>
          <c:dPt>
            <c:idx val="0"/>
            <c:invertIfNegative val="0"/>
            <c:bubble3D val="0"/>
            <c:spPr>
              <a:solidFill>
                <a:srgbClr val="1F9AA8"/>
              </a:solidFill>
              <a:ln>
                <a:noFill/>
              </a:ln>
              <a:effectLst/>
            </c:spPr>
            <c:extLst>
              <c:ext xmlns:c16="http://schemas.microsoft.com/office/drawing/2014/chart" uri="{C3380CC4-5D6E-409C-BE32-E72D297353CC}">
                <c16:uniqueId val="{00000001-59FB-458D-94FA-6FFAF0A1D5A8}"/>
              </c:ext>
            </c:extLst>
          </c:dPt>
          <c:dPt>
            <c:idx val="1"/>
            <c:invertIfNegative val="0"/>
            <c:bubble3D val="0"/>
            <c:spPr>
              <a:solidFill>
                <a:srgbClr val="1F9AA8"/>
              </a:solidFill>
              <a:ln>
                <a:noFill/>
              </a:ln>
              <a:effectLst/>
            </c:spPr>
            <c:extLst>
              <c:ext xmlns:c16="http://schemas.microsoft.com/office/drawing/2014/chart" uri="{C3380CC4-5D6E-409C-BE32-E72D297353CC}">
                <c16:uniqueId val="{00000002-59FB-458D-94FA-6FFAF0A1D5A8}"/>
              </c:ext>
            </c:extLst>
          </c:dPt>
          <c:dPt>
            <c:idx val="2"/>
            <c:invertIfNegative val="0"/>
            <c:bubble3D val="0"/>
            <c:spPr>
              <a:solidFill>
                <a:srgbClr val="1F9AA8"/>
              </a:solidFill>
              <a:ln>
                <a:noFill/>
              </a:ln>
              <a:effectLst/>
            </c:spPr>
            <c:extLst>
              <c:ext xmlns:c16="http://schemas.microsoft.com/office/drawing/2014/chart" uri="{C3380CC4-5D6E-409C-BE32-E72D297353CC}">
                <c16:uniqueId val="{00000003-59FB-458D-94FA-6FFAF0A1D5A8}"/>
              </c:ext>
            </c:extLst>
          </c:dPt>
          <c:dPt>
            <c:idx val="3"/>
            <c:invertIfNegative val="0"/>
            <c:bubble3D val="0"/>
            <c:spPr>
              <a:solidFill>
                <a:srgbClr val="548235"/>
              </a:solidFill>
              <a:ln>
                <a:noFill/>
              </a:ln>
              <a:effectLst/>
            </c:spPr>
            <c:extLst>
              <c:ext xmlns:c16="http://schemas.microsoft.com/office/drawing/2014/chart" uri="{C3380CC4-5D6E-409C-BE32-E72D297353CC}">
                <c16:uniqueId val="{00000004-59FB-458D-94FA-6FFAF0A1D5A8}"/>
              </c:ext>
            </c:extLst>
          </c:dPt>
          <c:dPt>
            <c:idx val="4"/>
            <c:invertIfNegative val="0"/>
            <c:bubble3D val="0"/>
            <c:spPr>
              <a:solidFill>
                <a:srgbClr val="548235"/>
              </a:solidFill>
              <a:ln>
                <a:noFill/>
              </a:ln>
              <a:effectLst/>
            </c:spPr>
            <c:extLst>
              <c:ext xmlns:c16="http://schemas.microsoft.com/office/drawing/2014/chart" uri="{C3380CC4-5D6E-409C-BE32-E72D297353CC}">
                <c16:uniqueId val="{00000005-59FB-458D-94FA-6FFAF0A1D5A8}"/>
              </c:ext>
            </c:extLst>
          </c:dPt>
          <c:dPt>
            <c:idx val="5"/>
            <c:invertIfNegative val="0"/>
            <c:bubble3D val="0"/>
            <c:spPr>
              <a:solidFill>
                <a:srgbClr val="548235"/>
              </a:solidFill>
              <a:ln>
                <a:noFill/>
              </a:ln>
              <a:effectLst/>
            </c:spPr>
            <c:extLst>
              <c:ext xmlns:c16="http://schemas.microsoft.com/office/drawing/2014/chart" uri="{C3380CC4-5D6E-409C-BE32-E72D297353CC}">
                <c16:uniqueId val="{00000006-59FB-458D-94FA-6FFAF0A1D5A8}"/>
              </c:ext>
            </c:extLst>
          </c:dPt>
          <c:dPt>
            <c:idx val="6"/>
            <c:invertIfNegative val="0"/>
            <c:bubble3D val="0"/>
            <c:spPr>
              <a:solidFill>
                <a:srgbClr val="548235"/>
              </a:solidFill>
              <a:ln>
                <a:noFill/>
              </a:ln>
              <a:effectLst/>
            </c:spPr>
            <c:extLst>
              <c:ext xmlns:c16="http://schemas.microsoft.com/office/drawing/2014/chart" uri="{C3380CC4-5D6E-409C-BE32-E72D297353CC}">
                <c16:uniqueId val="{00000007-59FB-458D-94FA-6FFAF0A1D5A8}"/>
              </c:ext>
            </c:extLst>
          </c:dPt>
          <c:dPt>
            <c:idx val="7"/>
            <c:invertIfNegative val="0"/>
            <c:bubble3D val="0"/>
            <c:spPr>
              <a:solidFill>
                <a:srgbClr val="548235"/>
              </a:solidFill>
              <a:ln>
                <a:noFill/>
              </a:ln>
              <a:effectLst/>
            </c:spPr>
            <c:extLst>
              <c:ext xmlns:c16="http://schemas.microsoft.com/office/drawing/2014/chart" uri="{C3380CC4-5D6E-409C-BE32-E72D297353CC}">
                <c16:uniqueId val="{00000008-59FB-458D-94FA-6FFAF0A1D5A8}"/>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'Business Performance Scorecard'!$K$175:$K$182</c:f>
              <c:numCache>
                <c:formatCode>General</c:formatCode>
                <c:ptCount val="8"/>
                <c:pt idx="0">
                  <c:v>1.1599999999999999</c:v>
                </c:pt>
                <c:pt idx="1">
                  <c:v>1.84</c:v>
                </c:pt>
                <c:pt idx="2">
                  <c:v>1.44</c:v>
                </c:pt>
                <c:pt idx="3">
                  <c:v>1.35</c:v>
                </c:pt>
                <c:pt idx="4">
                  <c:v>1.3</c:v>
                </c:pt>
                <c:pt idx="5">
                  <c:v>1.25</c:v>
                </c:pt>
                <c:pt idx="6">
                  <c:v>1.2</c:v>
                </c:pt>
                <c:pt idx="7">
                  <c:v>1.1499999999999999</c:v>
                </c:pt>
              </c:numCache>
            </c:numRef>
          </c:val>
          <c:extLst>
            <c:ext xmlns:c15="http://schemas.microsoft.com/office/drawing/2012/chart" uri="{02D57815-91ED-43cb-92C2-25804820EDAC}">
              <c15:filteredCategoryTitle>
                <c15:cat>
                  <c:strRef>
                    <c:extLst>
                      <c:ext uri="{02D57815-91ED-43cb-92C2-25804820EDAC}">
                        <c15:formulaRef>
                          <c15:sqref>'Business Performance Scorecard'!$J$175:$J$182</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00-59FB-458D-94FA-6FFAF0A1D5A8}"/>
            </c:ext>
          </c:extLst>
        </c:ser>
        <c:ser>
          <c:idx val="1"/>
          <c:order val="1"/>
          <c:tx>
            <c:v>RBI NBFC sector benchmark</c:v>
          </c:tx>
          <c:spPr>
            <a:solidFill>
              <a:srgbClr val="BFBFBF"/>
            </a:solidFill>
            <a:ln w="25400">
              <a:noFill/>
            </a:ln>
            <a:effectLst/>
          </c:spPr>
          <c:invertIfNegative val="0"/>
          <c:val>
            <c:numRef>
              <c:f>'Business Performance Scorecard'!$L$175:$L$182</c:f>
              <c:numCache>
                <c:formatCode>General</c:formatCode>
                <c:ptCount val="8"/>
                <c:pt idx="0">
                  <c:v>0</c:v>
                </c:pt>
                <c:pt idx="1">
                  <c:v>0</c:v>
                </c:pt>
                <c:pt idx="2">
                  <c:v>0</c:v>
                </c:pt>
                <c:pt idx="3">
                  <c:v>0</c:v>
                </c:pt>
                <c:pt idx="4">
                  <c:v>0</c:v>
                </c:pt>
                <c:pt idx="5">
                  <c:v>0</c:v>
                </c:pt>
                <c:pt idx="6">
                  <c:v>0</c:v>
                </c:pt>
                <c:pt idx="7">
                  <c:v>0</c:v>
                </c:pt>
              </c:numCache>
            </c:numRef>
          </c:val>
          <c:extLst>
            <c:ext xmlns:c15="http://schemas.microsoft.com/office/drawing/2012/chart" uri="{02D57815-91ED-43cb-92C2-25804820EDAC}">
              <c15:filteredCategoryTitle>
                <c15:cat>
                  <c:strRef>
                    <c:extLst>
                      <c:ext uri="{02D57815-91ED-43cb-92C2-25804820EDAC}">
                        <c15:formulaRef>
                          <c15:sqref>'Business Performance Scorecard'!$J$175:$J$182</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10-72E4-45E8-8F63-4CED1C309C44}"/>
            </c:ext>
          </c:extLst>
        </c:ser>
        <c:dLbls>
          <c:showLegendKey val="0"/>
          <c:showVal val="0"/>
          <c:showCatName val="0"/>
          <c:showSerName val="0"/>
          <c:showPercent val="0"/>
          <c:showBubbleSize val="0"/>
        </c:dLbls>
        <c:gapWidth val="40"/>
        <c:axId val="400950639"/>
        <c:axId val="400941999"/>
      </c:barChart>
      <c:catAx>
        <c:axId val="4009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404040"/>
                </a:solidFill>
                <a:latin typeface="+mn-lt"/>
                <a:ea typeface="+mn-ea"/>
                <a:cs typeface="+mn-cs"/>
              </a:defRPr>
            </a:pPr>
            <a:endParaRPr lang="en-US"/>
          </a:p>
        </c:txPr>
        <c:crossAx val="400941999"/>
        <c:crosses val="autoZero"/>
        <c:auto val="1"/>
        <c:lblAlgn val="ctr"/>
        <c:lblOffset val="100"/>
        <c:noMultiLvlLbl val="0"/>
      </c:catAx>
      <c:valAx>
        <c:axId val="400941999"/>
        <c:scaling>
          <c:orientation val="minMax"/>
        </c:scaling>
        <c:delete val="1"/>
        <c:axPos val="b"/>
        <c:numFmt formatCode="General" sourceLinked="1"/>
        <c:majorTickMark val="none"/>
        <c:minorTickMark val="none"/>
        <c:tickLblPos val="nextTo"/>
        <c:crossAx val="400950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Poonawalla Fincorp</c:v>
          </c:tx>
          <c:spPr>
            <a:solidFill>
              <a:schemeClr val="accent1"/>
            </a:solidFill>
            <a:ln>
              <a:noFill/>
            </a:ln>
            <a:effectLst/>
          </c:spPr>
          <c:invertIfNegative val="0"/>
          <c:dPt>
            <c:idx val="0"/>
            <c:invertIfNegative val="0"/>
            <c:bubble3D val="0"/>
            <c:spPr>
              <a:solidFill>
                <a:srgbClr val="1F9AA8"/>
              </a:solidFill>
              <a:ln>
                <a:noFill/>
              </a:ln>
              <a:effectLst/>
            </c:spPr>
            <c:extLst>
              <c:ext xmlns:c16="http://schemas.microsoft.com/office/drawing/2014/chart" uri="{C3380CC4-5D6E-409C-BE32-E72D297353CC}">
                <c16:uniqueId val="{00000001-CAC6-437B-95F0-B5C9A2998380}"/>
              </c:ext>
            </c:extLst>
          </c:dPt>
          <c:dPt>
            <c:idx val="1"/>
            <c:invertIfNegative val="0"/>
            <c:bubble3D val="0"/>
            <c:spPr>
              <a:solidFill>
                <a:srgbClr val="1F9AA8"/>
              </a:solidFill>
              <a:ln>
                <a:noFill/>
              </a:ln>
              <a:effectLst/>
            </c:spPr>
            <c:extLst>
              <c:ext xmlns:c16="http://schemas.microsoft.com/office/drawing/2014/chart" uri="{C3380CC4-5D6E-409C-BE32-E72D297353CC}">
                <c16:uniqueId val="{00000002-CAC6-437B-95F0-B5C9A2998380}"/>
              </c:ext>
            </c:extLst>
          </c:dPt>
          <c:dPt>
            <c:idx val="2"/>
            <c:invertIfNegative val="0"/>
            <c:bubble3D val="0"/>
            <c:spPr>
              <a:solidFill>
                <a:srgbClr val="1F9AA8"/>
              </a:solidFill>
              <a:ln>
                <a:noFill/>
              </a:ln>
              <a:effectLst/>
            </c:spPr>
            <c:extLst>
              <c:ext xmlns:c16="http://schemas.microsoft.com/office/drawing/2014/chart" uri="{C3380CC4-5D6E-409C-BE32-E72D297353CC}">
                <c16:uniqueId val="{00000003-CAC6-437B-95F0-B5C9A2998380}"/>
              </c:ext>
            </c:extLst>
          </c:dPt>
          <c:dPt>
            <c:idx val="3"/>
            <c:invertIfNegative val="0"/>
            <c:bubble3D val="0"/>
            <c:spPr>
              <a:solidFill>
                <a:srgbClr val="548235"/>
              </a:solidFill>
              <a:ln>
                <a:noFill/>
              </a:ln>
              <a:effectLst/>
            </c:spPr>
            <c:extLst>
              <c:ext xmlns:c16="http://schemas.microsoft.com/office/drawing/2014/chart" uri="{C3380CC4-5D6E-409C-BE32-E72D297353CC}">
                <c16:uniqueId val="{00000004-CAC6-437B-95F0-B5C9A2998380}"/>
              </c:ext>
            </c:extLst>
          </c:dPt>
          <c:dPt>
            <c:idx val="4"/>
            <c:invertIfNegative val="0"/>
            <c:bubble3D val="0"/>
            <c:spPr>
              <a:solidFill>
                <a:srgbClr val="548235"/>
              </a:solidFill>
              <a:ln>
                <a:noFill/>
              </a:ln>
              <a:effectLst/>
            </c:spPr>
            <c:extLst>
              <c:ext xmlns:c16="http://schemas.microsoft.com/office/drawing/2014/chart" uri="{C3380CC4-5D6E-409C-BE32-E72D297353CC}">
                <c16:uniqueId val="{00000005-CAC6-437B-95F0-B5C9A2998380}"/>
              </c:ext>
            </c:extLst>
          </c:dPt>
          <c:dPt>
            <c:idx val="5"/>
            <c:invertIfNegative val="0"/>
            <c:bubble3D val="0"/>
            <c:spPr>
              <a:solidFill>
                <a:srgbClr val="548235"/>
              </a:solidFill>
              <a:ln>
                <a:noFill/>
              </a:ln>
              <a:effectLst/>
            </c:spPr>
            <c:extLst>
              <c:ext xmlns:c16="http://schemas.microsoft.com/office/drawing/2014/chart" uri="{C3380CC4-5D6E-409C-BE32-E72D297353CC}">
                <c16:uniqueId val="{00000006-CAC6-437B-95F0-B5C9A2998380}"/>
              </c:ext>
            </c:extLst>
          </c:dPt>
          <c:dPt>
            <c:idx val="6"/>
            <c:invertIfNegative val="0"/>
            <c:bubble3D val="0"/>
            <c:spPr>
              <a:solidFill>
                <a:srgbClr val="548235"/>
              </a:solidFill>
              <a:ln>
                <a:noFill/>
              </a:ln>
              <a:effectLst/>
            </c:spPr>
            <c:extLst>
              <c:ext xmlns:c16="http://schemas.microsoft.com/office/drawing/2014/chart" uri="{C3380CC4-5D6E-409C-BE32-E72D297353CC}">
                <c16:uniqueId val="{00000007-CAC6-437B-95F0-B5C9A2998380}"/>
              </c:ext>
            </c:extLst>
          </c:dPt>
          <c:dPt>
            <c:idx val="7"/>
            <c:invertIfNegative val="0"/>
            <c:bubble3D val="0"/>
            <c:spPr>
              <a:solidFill>
                <a:srgbClr val="548235"/>
              </a:solidFill>
              <a:ln>
                <a:noFill/>
              </a:ln>
              <a:effectLst/>
            </c:spPr>
            <c:extLst>
              <c:ext xmlns:c16="http://schemas.microsoft.com/office/drawing/2014/chart" uri="{C3380CC4-5D6E-409C-BE32-E72D297353CC}">
                <c16:uniqueId val="{00000008-CAC6-437B-95F0-B5C9A299838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'Business Performance Scorecard'!$K$184:$K$191</c:f>
              <c:numCache>
                <c:formatCode>General</c:formatCode>
                <c:ptCount val="8"/>
                <c:pt idx="0">
                  <c:v>0.59</c:v>
                </c:pt>
                <c:pt idx="1">
                  <c:v>0.85</c:v>
                </c:pt>
                <c:pt idx="2">
                  <c:v>0.74</c:v>
                </c:pt>
                <c:pt idx="3">
                  <c:v>0.67999999999999994</c:v>
                </c:pt>
                <c:pt idx="4">
                  <c:v>0.63</c:v>
                </c:pt>
                <c:pt idx="5">
                  <c:v>0.6</c:v>
                </c:pt>
                <c:pt idx="6">
                  <c:v>0.57000000000000006</c:v>
                </c:pt>
                <c:pt idx="7">
                  <c:v>0.54999999999999993</c:v>
                </c:pt>
              </c:numCache>
            </c:numRef>
          </c:val>
          <c:extLst>
            <c:ext xmlns:c15="http://schemas.microsoft.com/office/drawing/2012/chart" uri="{02D57815-91ED-43cb-92C2-25804820EDAC}">
              <c15:filteredCategoryTitle>
                <c15:cat>
                  <c:strRef>
                    <c:extLst>
                      <c:ext uri="{02D57815-91ED-43cb-92C2-25804820EDAC}">
                        <c15:formulaRef>
                          <c15:sqref>'Business Performance Scorecard'!$J$184:$J$191</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00-CAC6-437B-95F0-B5C9A2998380}"/>
            </c:ext>
          </c:extLst>
        </c:ser>
        <c:ser>
          <c:idx val="1"/>
          <c:order val="1"/>
          <c:tx>
            <c:v>RBI NBFC sector benchmark</c:v>
          </c:tx>
          <c:spPr>
            <a:solidFill>
              <a:srgbClr val="BFBFBF"/>
            </a:solidFill>
            <a:ln w="25400">
              <a:noFill/>
            </a:ln>
            <a:effectLst/>
          </c:spPr>
          <c:invertIfNegative val="0"/>
          <c:val>
            <c:numRef>
              <c:f>'Business Performance Scorecard'!$L$184:$L$191</c:f>
              <c:numCache>
                <c:formatCode>General</c:formatCode>
                <c:ptCount val="8"/>
                <c:pt idx="0">
                  <c:v>0</c:v>
                </c:pt>
                <c:pt idx="1">
                  <c:v>0</c:v>
                </c:pt>
                <c:pt idx="2">
                  <c:v>0</c:v>
                </c:pt>
                <c:pt idx="3">
                  <c:v>0</c:v>
                </c:pt>
                <c:pt idx="4">
                  <c:v>0</c:v>
                </c:pt>
                <c:pt idx="5">
                  <c:v>0</c:v>
                </c:pt>
                <c:pt idx="6">
                  <c:v>0</c:v>
                </c:pt>
                <c:pt idx="7">
                  <c:v>0</c:v>
                </c:pt>
              </c:numCache>
            </c:numRef>
          </c:val>
          <c:extLst>
            <c:ext xmlns:c15="http://schemas.microsoft.com/office/drawing/2012/chart" uri="{02D57815-91ED-43cb-92C2-25804820EDAC}">
              <c15:filteredCategoryTitle>
                <c15:cat>
                  <c:strRef>
                    <c:extLst>
                      <c:ext uri="{02D57815-91ED-43cb-92C2-25804820EDAC}">
                        <c15:formulaRef>
                          <c15:sqref>'Business Performance Scorecard'!$J$184:$J$191</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10-1910-4794-AA75-B1F33D465C0C}"/>
            </c:ext>
          </c:extLst>
        </c:ser>
        <c:dLbls>
          <c:showLegendKey val="0"/>
          <c:showVal val="0"/>
          <c:showCatName val="0"/>
          <c:showSerName val="0"/>
          <c:showPercent val="0"/>
          <c:showBubbleSize val="0"/>
        </c:dLbls>
        <c:gapWidth val="40"/>
        <c:axId val="400951119"/>
        <c:axId val="400947759"/>
      </c:barChart>
      <c:catAx>
        <c:axId val="40095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404040"/>
                </a:solidFill>
                <a:latin typeface="+mn-lt"/>
                <a:ea typeface="+mn-ea"/>
                <a:cs typeface="+mn-cs"/>
              </a:defRPr>
            </a:pPr>
            <a:endParaRPr lang="en-US"/>
          </a:p>
        </c:txPr>
        <c:crossAx val="400947759"/>
        <c:crosses val="autoZero"/>
        <c:auto val="1"/>
        <c:lblAlgn val="ctr"/>
        <c:lblOffset val="100"/>
        <c:noMultiLvlLbl val="0"/>
      </c:catAx>
      <c:valAx>
        <c:axId val="400947759"/>
        <c:scaling>
          <c:orientation val="minMax"/>
        </c:scaling>
        <c:delete val="1"/>
        <c:axPos val="b"/>
        <c:numFmt formatCode="General" sourceLinked="1"/>
        <c:majorTickMark val="none"/>
        <c:minorTickMark val="none"/>
        <c:tickLblPos val="nextTo"/>
        <c:crossAx val="400951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1F9AA8"/>
              </a:solidFill>
              <a:ln>
                <a:noFill/>
              </a:ln>
              <a:effectLst/>
            </c:spPr>
            <c:extLst>
              <c:ext xmlns:c16="http://schemas.microsoft.com/office/drawing/2014/chart" uri="{C3380CC4-5D6E-409C-BE32-E72D297353CC}">
                <c16:uniqueId val="{00000001-0A91-4906-8910-490387BDA7D9}"/>
              </c:ext>
            </c:extLst>
          </c:dPt>
          <c:dPt>
            <c:idx val="1"/>
            <c:invertIfNegative val="0"/>
            <c:bubble3D val="0"/>
            <c:spPr>
              <a:solidFill>
                <a:srgbClr val="1F9AA8"/>
              </a:solidFill>
              <a:ln>
                <a:noFill/>
              </a:ln>
              <a:effectLst/>
            </c:spPr>
            <c:extLst>
              <c:ext xmlns:c16="http://schemas.microsoft.com/office/drawing/2014/chart" uri="{C3380CC4-5D6E-409C-BE32-E72D297353CC}">
                <c16:uniqueId val="{00000002-0A91-4906-8910-490387BDA7D9}"/>
              </c:ext>
            </c:extLst>
          </c:dPt>
          <c:dPt>
            <c:idx val="2"/>
            <c:invertIfNegative val="0"/>
            <c:bubble3D val="0"/>
            <c:spPr>
              <a:solidFill>
                <a:srgbClr val="1F9AA8"/>
              </a:solidFill>
              <a:ln>
                <a:noFill/>
              </a:ln>
              <a:effectLst/>
            </c:spPr>
            <c:extLst>
              <c:ext xmlns:c16="http://schemas.microsoft.com/office/drawing/2014/chart" uri="{C3380CC4-5D6E-409C-BE32-E72D297353CC}">
                <c16:uniqueId val="{00000003-0A91-4906-8910-490387BDA7D9}"/>
              </c:ext>
            </c:extLst>
          </c:dPt>
          <c:dPt>
            <c:idx val="3"/>
            <c:invertIfNegative val="0"/>
            <c:bubble3D val="0"/>
            <c:spPr>
              <a:solidFill>
                <a:srgbClr val="548235"/>
              </a:solidFill>
              <a:ln>
                <a:noFill/>
              </a:ln>
              <a:effectLst/>
            </c:spPr>
            <c:extLst>
              <c:ext xmlns:c16="http://schemas.microsoft.com/office/drawing/2014/chart" uri="{C3380CC4-5D6E-409C-BE32-E72D297353CC}">
                <c16:uniqueId val="{00000004-0A91-4906-8910-490387BDA7D9}"/>
              </c:ext>
            </c:extLst>
          </c:dPt>
          <c:dPt>
            <c:idx val="4"/>
            <c:invertIfNegative val="0"/>
            <c:bubble3D val="0"/>
            <c:spPr>
              <a:solidFill>
                <a:srgbClr val="548235"/>
              </a:solidFill>
              <a:ln>
                <a:noFill/>
              </a:ln>
              <a:effectLst/>
            </c:spPr>
            <c:extLst>
              <c:ext xmlns:c16="http://schemas.microsoft.com/office/drawing/2014/chart" uri="{C3380CC4-5D6E-409C-BE32-E72D297353CC}">
                <c16:uniqueId val="{00000005-0A91-4906-8910-490387BDA7D9}"/>
              </c:ext>
            </c:extLst>
          </c:dPt>
          <c:dPt>
            <c:idx val="5"/>
            <c:invertIfNegative val="0"/>
            <c:bubble3D val="0"/>
            <c:spPr>
              <a:solidFill>
                <a:srgbClr val="548235"/>
              </a:solidFill>
              <a:ln>
                <a:noFill/>
              </a:ln>
              <a:effectLst/>
            </c:spPr>
            <c:extLst>
              <c:ext xmlns:c16="http://schemas.microsoft.com/office/drawing/2014/chart" uri="{C3380CC4-5D6E-409C-BE32-E72D297353CC}">
                <c16:uniqueId val="{00000006-0A91-4906-8910-490387BDA7D9}"/>
              </c:ext>
            </c:extLst>
          </c:dPt>
          <c:dPt>
            <c:idx val="6"/>
            <c:invertIfNegative val="0"/>
            <c:bubble3D val="0"/>
            <c:spPr>
              <a:solidFill>
                <a:srgbClr val="548235"/>
              </a:solidFill>
              <a:ln>
                <a:noFill/>
              </a:ln>
              <a:effectLst/>
            </c:spPr>
            <c:extLst>
              <c:ext xmlns:c16="http://schemas.microsoft.com/office/drawing/2014/chart" uri="{C3380CC4-5D6E-409C-BE32-E72D297353CC}">
                <c16:uniqueId val="{00000007-0A91-4906-8910-490387BDA7D9}"/>
              </c:ext>
            </c:extLst>
          </c:dPt>
          <c:dPt>
            <c:idx val="7"/>
            <c:invertIfNegative val="0"/>
            <c:bubble3D val="0"/>
            <c:spPr>
              <a:solidFill>
                <a:srgbClr val="548235"/>
              </a:solidFill>
              <a:ln>
                <a:noFill/>
              </a:ln>
              <a:effectLst/>
            </c:spPr>
            <c:extLst>
              <c:ext xmlns:c16="http://schemas.microsoft.com/office/drawing/2014/chart" uri="{C3380CC4-5D6E-409C-BE32-E72D297353CC}">
                <c16:uniqueId val="{00000008-0A91-4906-8910-490387BDA7D9}"/>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'Business Performance Scorecard'!$K$193:$K$200</c:f>
              <c:numCache>
                <c:formatCode>General</c:formatCode>
                <c:ptCount val="8"/>
                <c:pt idx="0">
                  <c:v>1027.3699999999999</c:v>
                </c:pt>
                <c:pt idx="1">
                  <c:v>-98.340000000000543</c:v>
                </c:pt>
                <c:pt idx="2">
                  <c:v>541.80999999999972</c:v>
                </c:pt>
                <c:pt idx="3">
                  <c:v>1781.8730524467937</c:v>
                </c:pt>
                <c:pt idx="4">
                  <c:v>3117.5046289059546</c:v>
                </c:pt>
                <c:pt idx="5">
                  <c:v>4514.9235668837218</c:v>
                </c:pt>
                <c:pt idx="6">
                  <c:v>5939.5821171954221</c:v>
                </c:pt>
                <c:pt idx="7">
                  <c:v>7832.1898261735259</c:v>
                </c:pt>
              </c:numCache>
            </c:numRef>
          </c:val>
          <c:extLst>
            <c:ext xmlns:c15="http://schemas.microsoft.com/office/drawing/2012/chart" uri="{02D57815-91ED-43cb-92C2-25804820EDAC}">
              <c15:filteredCategoryTitle>
                <c15:cat>
                  <c:strRef>
                    <c:extLst>
                      <c:ext uri="{02D57815-91ED-43cb-92C2-25804820EDAC}">
                        <c15:formulaRef>
                          <c15:sqref>'Business Performance Scorecard'!$J$193:$J$200</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00-0A91-4906-8910-490387BDA7D9}"/>
            </c:ext>
          </c:extLst>
        </c:ser>
        <c:dLbls>
          <c:showLegendKey val="0"/>
          <c:showVal val="0"/>
          <c:showCatName val="0"/>
          <c:showSerName val="0"/>
          <c:showPercent val="0"/>
          <c:showBubbleSize val="0"/>
        </c:dLbls>
        <c:gapWidth val="40"/>
        <c:axId val="400946319"/>
        <c:axId val="400943439"/>
      </c:barChart>
      <c:catAx>
        <c:axId val="40094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404040"/>
                </a:solidFill>
                <a:latin typeface="+mn-lt"/>
                <a:ea typeface="+mn-ea"/>
                <a:cs typeface="+mn-cs"/>
              </a:defRPr>
            </a:pPr>
            <a:endParaRPr lang="en-US"/>
          </a:p>
        </c:txPr>
        <c:crossAx val="400943439"/>
        <c:crosses val="autoZero"/>
        <c:auto val="1"/>
        <c:lblAlgn val="ctr"/>
        <c:lblOffset val="100"/>
        <c:noMultiLvlLbl val="0"/>
      </c:catAx>
      <c:valAx>
        <c:axId val="400943439"/>
        <c:scaling>
          <c:orientation val="minMax"/>
        </c:scaling>
        <c:delete val="1"/>
        <c:axPos val="b"/>
        <c:numFmt formatCode="General" sourceLinked="1"/>
        <c:majorTickMark val="none"/>
        <c:minorTickMark val="none"/>
        <c:tickLblPos val="nextTo"/>
        <c:crossAx val="40094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1F9AA8"/>
              </a:solidFill>
              <a:ln>
                <a:noFill/>
              </a:ln>
              <a:effectLst/>
            </c:spPr>
            <c:extLst>
              <c:ext xmlns:c16="http://schemas.microsoft.com/office/drawing/2014/chart" uri="{C3380CC4-5D6E-409C-BE32-E72D297353CC}">
                <c16:uniqueId val="{00000001-65A6-4FCE-99B9-2AD6A5121077}"/>
              </c:ext>
            </c:extLst>
          </c:dPt>
          <c:dPt>
            <c:idx val="1"/>
            <c:invertIfNegative val="0"/>
            <c:bubble3D val="0"/>
            <c:spPr>
              <a:solidFill>
                <a:srgbClr val="1F9AA8"/>
              </a:solidFill>
              <a:ln>
                <a:noFill/>
              </a:ln>
              <a:effectLst/>
            </c:spPr>
            <c:extLst>
              <c:ext xmlns:c16="http://schemas.microsoft.com/office/drawing/2014/chart" uri="{C3380CC4-5D6E-409C-BE32-E72D297353CC}">
                <c16:uniqueId val="{00000002-65A6-4FCE-99B9-2AD6A5121077}"/>
              </c:ext>
            </c:extLst>
          </c:dPt>
          <c:dPt>
            <c:idx val="2"/>
            <c:invertIfNegative val="0"/>
            <c:bubble3D val="0"/>
            <c:spPr>
              <a:solidFill>
                <a:srgbClr val="1F9AA8"/>
              </a:solidFill>
              <a:ln>
                <a:noFill/>
              </a:ln>
              <a:effectLst/>
            </c:spPr>
            <c:extLst>
              <c:ext xmlns:c16="http://schemas.microsoft.com/office/drawing/2014/chart" uri="{C3380CC4-5D6E-409C-BE32-E72D297353CC}">
                <c16:uniqueId val="{00000003-65A6-4FCE-99B9-2AD6A5121077}"/>
              </c:ext>
            </c:extLst>
          </c:dPt>
          <c:dPt>
            <c:idx val="3"/>
            <c:invertIfNegative val="0"/>
            <c:bubble3D val="0"/>
            <c:spPr>
              <a:solidFill>
                <a:srgbClr val="548235"/>
              </a:solidFill>
              <a:ln>
                <a:noFill/>
              </a:ln>
              <a:effectLst/>
            </c:spPr>
            <c:extLst>
              <c:ext xmlns:c16="http://schemas.microsoft.com/office/drawing/2014/chart" uri="{C3380CC4-5D6E-409C-BE32-E72D297353CC}">
                <c16:uniqueId val="{00000004-65A6-4FCE-99B9-2AD6A5121077}"/>
              </c:ext>
            </c:extLst>
          </c:dPt>
          <c:dPt>
            <c:idx val="4"/>
            <c:invertIfNegative val="0"/>
            <c:bubble3D val="0"/>
            <c:spPr>
              <a:solidFill>
                <a:srgbClr val="548235"/>
              </a:solidFill>
              <a:ln>
                <a:noFill/>
              </a:ln>
              <a:effectLst/>
            </c:spPr>
            <c:extLst>
              <c:ext xmlns:c16="http://schemas.microsoft.com/office/drawing/2014/chart" uri="{C3380CC4-5D6E-409C-BE32-E72D297353CC}">
                <c16:uniqueId val="{00000005-65A6-4FCE-99B9-2AD6A5121077}"/>
              </c:ext>
            </c:extLst>
          </c:dPt>
          <c:dPt>
            <c:idx val="5"/>
            <c:invertIfNegative val="0"/>
            <c:bubble3D val="0"/>
            <c:spPr>
              <a:solidFill>
                <a:srgbClr val="548235"/>
              </a:solidFill>
              <a:ln>
                <a:noFill/>
              </a:ln>
              <a:effectLst/>
            </c:spPr>
            <c:extLst>
              <c:ext xmlns:c16="http://schemas.microsoft.com/office/drawing/2014/chart" uri="{C3380CC4-5D6E-409C-BE32-E72D297353CC}">
                <c16:uniqueId val="{00000006-65A6-4FCE-99B9-2AD6A5121077}"/>
              </c:ext>
            </c:extLst>
          </c:dPt>
          <c:dPt>
            <c:idx val="6"/>
            <c:invertIfNegative val="0"/>
            <c:bubble3D val="0"/>
            <c:spPr>
              <a:solidFill>
                <a:srgbClr val="548235"/>
              </a:solidFill>
              <a:ln>
                <a:noFill/>
              </a:ln>
              <a:effectLst/>
            </c:spPr>
            <c:extLst>
              <c:ext xmlns:c16="http://schemas.microsoft.com/office/drawing/2014/chart" uri="{C3380CC4-5D6E-409C-BE32-E72D297353CC}">
                <c16:uniqueId val="{00000007-65A6-4FCE-99B9-2AD6A5121077}"/>
              </c:ext>
            </c:extLst>
          </c:dPt>
          <c:dPt>
            <c:idx val="7"/>
            <c:invertIfNegative val="0"/>
            <c:bubble3D val="0"/>
            <c:spPr>
              <a:solidFill>
                <a:srgbClr val="548235"/>
              </a:solidFill>
              <a:ln>
                <a:noFill/>
              </a:ln>
              <a:effectLst/>
            </c:spPr>
            <c:extLst>
              <c:ext xmlns:c16="http://schemas.microsoft.com/office/drawing/2014/chart" uri="{C3380CC4-5D6E-409C-BE32-E72D297353CC}">
                <c16:uniqueId val="{00000008-65A6-4FCE-99B9-2AD6A512107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'Business Performance Scorecard'!$K$202:$K$209</c:f>
              <c:numCache>
                <c:formatCode>General</c:formatCode>
                <c:ptCount val="8"/>
                <c:pt idx="0">
                  <c:v>1389.6699999999996</c:v>
                </c:pt>
                <c:pt idx="1">
                  <c:v>1430.9</c:v>
                </c:pt>
                <c:pt idx="2">
                  <c:v>1933.5300000000007</c:v>
                </c:pt>
                <c:pt idx="3">
                  <c:v>3946.8357306532725</c:v>
                </c:pt>
                <c:pt idx="4">
                  <c:v>6146.7346786245162</c:v>
                </c:pt>
                <c:pt idx="5">
                  <c:v>8455.0117966402868</c:v>
                </c:pt>
                <c:pt idx="6">
                  <c:v>10902.446405590801</c:v>
                </c:pt>
                <c:pt idx="7">
                  <c:v>13963.9165136669</c:v>
                </c:pt>
              </c:numCache>
            </c:numRef>
          </c:val>
          <c:extLst>
            <c:ext xmlns:c15="http://schemas.microsoft.com/office/drawing/2012/chart" uri="{02D57815-91ED-43cb-92C2-25804820EDAC}">
              <c15:filteredCategoryTitle>
                <c15:cat>
                  <c:strRef>
                    <c:extLst>
                      <c:ext uri="{02D57815-91ED-43cb-92C2-25804820EDAC}">
                        <c15:formulaRef>
                          <c15:sqref>'Business Performance Scorecard'!$J$202:$J$209</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00-65A6-4FCE-99B9-2AD6A5121077}"/>
            </c:ext>
          </c:extLst>
        </c:ser>
        <c:dLbls>
          <c:showLegendKey val="0"/>
          <c:showVal val="0"/>
          <c:showCatName val="0"/>
          <c:showSerName val="0"/>
          <c:showPercent val="0"/>
          <c:showBubbleSize val="0"/>
        </c:dLbls>
        <c:gapWidth val="40"/>
        <c:axId val="400951599"/>
        <c:axId val="400945359"/>
      </c:barChart>
      <c:catAx>
        <c:axId val="40095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404040"/>
                </a:solidFill>
                <a:latin typeface="+mn-lt"/>
                <a:ea typeface="+mn-ea"/>
                <a:cs typeface="+mn-cs"/>
              </a:defRPr>
            </a:pPr>
            <a:endParaRPr lang="en-US"/>
          </a:p>
        </c:txPr>
        <c:crossAx val="400945359"/>
        <c:crosses val="autoZero"/>
        <c:auto val="1"/>
        <c:lblAlgn val="ctr"/>
        <c:lblOffset val="100"/>
        <c:noMultiLvlLbl val="0"/>
      </c:catAx>
      <c:valAx>
        <c:axId val="400945359"/>
        <c:scaling>
          <c:orientation val="minMax"/>
        </c:scaling>
        <c:delete val="1"/>
        <c:axPos val="b"/>
        <c:numFmt formatCode="General" sourceLinked="1"/>
        <c:majorTickMark val="none"/>
        <c:minorTickMark val="none"/>
        <c:tickLblPos val="nextTo"/>
        <c:crossAx val="40095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1F9AA8"/>
              </a:solidFill>
              <a:ln>
                <a:noFill/>
              </a:ln>
              <a:effectLst/>
            </c:spPr>
            <c:extLst>
              <c:ext xmlns:c16="http://schemas.microsoft.com/office/drawing/2014/chart" uri="{C3380CC4-5D6E-409C-BE32-E72D297353CC}">
                <c16:uniqueId val="{00000001-7A87-4703-9B9C-B879347EF6CC}"/>
              </c:ext>
            </c:extLst>
          </c:dPt>
          <c:dPt>
            <c:idx val="1"/>
            <c:invertIfNegative val="0"/>
            <c:bubble3D val="0"/>
            <c:spPr>
              <a:solidFill>
                <a:srgbClr val="1F9AA8"/>
              </a:solidFill>
              <a:ln>
                <a:noFill/>
              </a:ln>
              <a:effectLst/>
            </c:spPr>
            <c:extLst>
              <c:ext xmlns:c16="http://schemas.microsoft.com/office/drawing/2014/chart" uri="{C3380CC4-5D6E-409C-BE32-E72D297353CC}">
                <c16:uniqueId val="{00000002-7A87-4703-9B9C-B879347EF6CC}"/>
              </c:ext>
            </c:extLst>
          </c:dPt>
          <c:dPt>
            <c:idx val="2"/>
            <c:invertIfNegative val="0"/>
            <c:bubble3D val="0"/>
            <c:spPr>
              <a:solidFill>
                <a:srgbClr val="1F9AA8"/>
              </a:solidFill>
              <a:ln>
                <a:noFill/>
              </a:ln>
              <a:effectLst/>
            </c:spPr>
            <c:extLst>
              <c:ext xmlns:c16="http://schemas.microsoft.com/office/drawing/2014/chart" uri="{C3380CC4-5D6E-409C-BE32-E72D297353CC}">
                <c16:uniqueId val="{00000003-7A87-4703-9B9C-B879347EF6CC}"/>
              </c:ext>
            </c:extLst>
          </c:dPt>
          <c:dPt>
            <c:idx val="3"/>
            <c:invertIfNegative val="0"/>
            <c:bubble3D val="0"/>
            <c:spPr>
              <a:solidFill>
                <a:srgbClr val="548235"/>
              </a:solidFill>
              <a:ln>
                <a:noFill/>
              </a:ln>
              <a:effectLst/>
            </c:spPr>
            <c:extLst>
              <c:ext xmlns:c16="http://schemas.microsoft.com/office/drawing/2014/chart" uri="{C3380CC4-5D6E-409C-BE32-E72D297353CC}">
                <c16:uniqueId val="{00000004-7A87-4703-9B9C-B879347EF6CC}"/>
              </c:ext>
            </c:extLst>
          </c:dPt>
          <c:dPt>
            <c:idx val="4"/>
            <c:invertIfNegative val="0"/>
            <c:bubble3D val="0"/>
            <c:spPr>
              <a:solidFill>
                <a:srgbClr val="548235"/>
              </a:solidFill>
              <a:ln>
                <a:noFill/>
              </a:ln>
              <a:effectLst/>
            </c:spPr>
            <c:extLst>
              <c:ext xmlns:c16="http://schemas.microsoft.com/office/drawing/2014/chart" uri="{C3380CC4-5D6E-409C-BE32-E72D297353CC}">
                <c16:uniqueId val="{00000005-7A87-4703-9B9C-B879347EF6CC}"/>
              </c:ext>
            </c:extLst>
          </c:dPt>
          <c:dPt>
            <c:idx val="5"/>
            <c:invertIfNegative val="0"/>
            <c:bubble3D val="0"/>
            <c:spPr>
              <a:solidFill>
                <a:srgbClr val="548235"/>
              </a:solidFill>
              <a:ln>
                <a:noFill/>
              </a:ln>
              <a:effectLst/>
            </c:spPr>
            <c:extLst>
              <c:ext xmlns:c16="http://schemas.microsoft.com/office/drawing/2014/chart" uri="{C3380CC4-5D6E-409C-BE32-E72D297353CC}">
                <c16:uniqueId val="{00000006-7A87-4703-9B9C-B879347EF6CC}"/>
              </c:ext>
            </c:extLst>
          </c:dPt>
          <c:dPt>
            <c:idx val="6"/>
            <c:invertIfNegative val="0"/>
            <c:bubble3D val="0"/>
            <c:spPr>
              <a:solidFill>
                <a:srgbClr val="548235"/>
              </a:solidFill>
              <a:ln>
                <a:noFill/>
              </a:ln>
              <a:effectLst/>
            </c:spPr>
            <c:extLst>
              <c:ext xmlns:c16="http://schemas.microsoft.com/office/drawing/2014/chart" uri="{C3380CC4-5D6E-409C-BE32-E72D297353CC}">
                <c16:uniqueId val="{00000007-7A87-4703-9B9C-B879347EF6CC}"/>
              </c:ext>
            </c:extLst>
          </c:dPt>
          <c:dPt>
            <c:idx val="7"/>
            <c:invertIfNegative val="0"/>
            <c:bubble3D val="0"/>
            <c:spPr>
              <a:solidFill>
                <a:srgbClr val="548235"/>
              </a:solidFill>
              <a:ln>
                <a:noFill/>
              </a:ln>
              <a:effectLst/>
            </c:spPr>
            <c:extLst>
              <c:ext xmlns:c16="http://schemas.microsoft.com/office/drawing/2014/chart" uri="{C3380CC4-5D6E-409C-BE32-E72D297353CC}">
                <c16:uniqueId val="{00000008-7A87-4703-9B9C-B879347EF6CC}"/>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'Business Performance Scorecard'!$K$211:$K$218</c:f>
              <c:numCache>
                <c:formatCode>General</c:formatCode>
                <c:ptCount val="8"/>
                <c:pt idx="0">
                  <c:v>7.2542787687344621</c:v>
                </c:pt>
                <c:pt idx="1">
                  <c:v>7.3977775759582114</c:v>
                </c:pt>
                <c:pt idx="2">
                  <c:v>7.4796242439562111</c:v>
                </c:pt>
                <c:pt idx="3">
                  <c:v>7.5</c:v>
                </c:pt>
                <c:pt idx="4">
                  <c:v>7.3</c:v>
                </c:pt>
                <c:pt idx="5">
                  <c:v>7.1999999999999993</c:v>
                </c:pt>
                <c:pt idx="6">
                  <c:v>7.1</c:v>
                </c:pt>
                <c:pt idx="7">
                  <c:v>7.0000000000000009</c:v>
                </c:pt>
              </c:numCache>
            </c:numRef>
          </c:val>
          <c:extLst>
            <c:ext xmlns:c15="http://schemas.microsoft.com/office/drawing/2012/chart" uri="{02D57815-91ED-43cb-92C2-25804820EDAC}">
              <c15:filteredCategoryTitle>
                <c15:cat>
                  <c:strRef>
                    <c:extLst>
                      <c:ext uri="{02D57815-91ED-43cb-92C2-25804820EDAC}">
                        <c15:formulaRef>
                          <c15:sqref>'Business Performance Scorecard'!$J$211:$J$218</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00-7A87-4703-9B9C-B879347EF6CC}"/>
            </c:ext>
          </c:extLst>
        </c:ser>
        <c:dLbls>
          <c:showLegendKey val="0"/>
          <c:showVal val="0"/>
          <c:showCatName val="0"/>
          <c:showSerName val="0"/>
          <c:showPercent val="0"/>
          <c:showBubbleSize val="0"/>
        </c:dLbls>
        <c:gapWidth val="40"/>
        <c:axId val="378629503"/>
        <c:axId val="378631903"/>
      </c:barChart>
      <c:catAx>
        <c:axId val="378629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404040"/>
                </a:solidFill>
                <a:latin typeface="+mn-lt"/>
                <a:ea typeface="+mn-ea"/>
                <a:cs typeface="+mn-cs"/>
              </a:defRPr>
            </a:pPr>
            <a:endParaRPr lang="en-US"/>
          </a:p>
        </c:txPr>
        <c:crossAx val="378631903"/>
        <c:crosses val="autoZero"/>
        <c:auto val="1"/>
        <c:lblAlgn val="ctr"/>
        <c:lblOffset val="100"/>
        <c:noMultiLvlLbl val="0"/>
      </c:catAx>
      <c:valAx>
        <c:axId val="378631903"/>
        <c:scaling>
          <c:orientation val="minMax"/>
        </c:scaling>
        <c:delete val="1"/>
        <c:axPos val="b"/>
        <c:numFmt formatCode="General" sourceLinked="1"/>
        <c:majorTickMark val="none"/>
        <c:minorTickMark val="none"/>
        <c:tickLblPos val="nextTo"/>
        <c:crossAx val="37862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Poonawalla Fincorp</c:v>
          </c:tx>
          <c:spPr>
            <a:solidFill>
              <a:schemeClr val="accent1"/>
            </a:solidFill>
            <a:ln>
              <a:noFill/>
            </a:ln>
            <a:effectLst/>
          </c:spPr>
          <c:invertIfNegative val="0"/>
          <c:dPt>
            <c:idx val="0"/>
            <c:invertIfNegative val="0"/>
            <c:bubble3D val="0"/>
            <c:spPr>
              <a:solidFill>
                <a:srgbClr val="1F9AA8"/>
              </a:solidFill>
              <a:ln>
                <a:noFill/>
              </a:ln>
              <a:effectLst/>
            </c:spPr>
            <c:extLst>
              <c:ext xmlns:c16="http://schemas.microsoft.com/office/drawing/2014/chart" uri="{C3380CC4-5D6E-409C-BE32-E72D297353CC}">
                <c16:uniqueId val="{00000001-8247-4015-86C7-D0284D7B6144}"/>
              </c:ext>
            </c:extLst>
          </c:dPt>
          <c:dPt>
            <c:idx val="1"/>
            <c:invertIfNegative val="0"/>
            <c:bubble3D val="0"/>
            <c:spPr>
              <a:solidFill>
                <a:srgbClr val="1F9AA8"/>
              </a:solidFill>
              <a:ln>
                <a:noFill/>
              </a:ln>
              <a:effectLst/>
            </c:spPr>
            <c:extLst>
              <c:ext xmlns:c16="http://schemas.microsoft.com/office/drawing/2014/chart" uri="{C3380CC4-5D6E-409C-BE32-E72D297353CC}">
                <c16:uniqueId val="{00000002-8247-4015-86C7-D0284D7B6144}"/>
              </c:ext>
            </c:extLst>
          </c:dPt>
          <c:dPt>
            <c:idx val="2"/>
            <c:invertIfNegative val="0"/>
            <c:bubble3D val="0"/>
            <c:spPr>
              <a:solidFill>
                <a:srgbClr val="1F9AA8"/>
              </a:solidFill>
              <a:ln>
                <a:noFill/>
              </a:ln>
              <a:effectLst/>
            </c:spPr>
            <c:extLst>
              <c:ext xmlns:c16="http://schemas.microsoft.com/office/drawing/2014/chart" uri="{C3380CC4-5D6E-409C-BE32-E72D297353CC}">
                <c16:uniqueId val="{00000003-8247-4015-86C7-D0284D7B6144}"/>
              </c:ext>
            </c:extLst>
          </c:dPt>
          <c:dPt>
            <c:idx val="3"/>
            <c:invertIfNegative val="0"/>
            <c:bubble3D val="0"/>
            <c:spPr>
              <a:solidFill>
                <a:srgbClr val="548235"/>
              </a:solidFill>
              <a:ln>
                <a:noFill/>
              </a:ln>
              <a:effectLst/>
            </c:spPr>
            <c:extLst>
              <c:ext xmlns:c16="http://schemas.microsoft.com/office/drawing/2014/chart" uri="{C3380CC4-5D6E-409C-BE32-E72D297353CC}">
                <c16:uniqueId val="{00000004-8247-4015-86C7-D0284D7B6144}"/>
              </c:ext>
            </c:extLst>
          </c:dPt>
          <c:dPt>
            <c:idx val="4"/>
            <c:invertIfNegative val="0"/>
            <c:bubble3D val="0"/>
            <c:spPr>
              <a:solidFill>
                <a:srgbClr val="548235"/>
              </a:solidFill>
              <a:ln>
                <a:noFill/>
              </a:ln>
              <a:effectLst/>
            </c:spPr>
            <c:extLst>
              <c:ext xmlns:c16="http://schemas.microsoft.com/office/drawing/2014/chart" uri="{C3380CC4-5D6E-409C-BE32-E72D297353CC}">
                <c16:uniqueId val="{00000005-8247-4015-86C7-D0284D7B6144}"/>
              </c:ext>
            </c:extLst>
          </c:dPt>
          <c:dPt>
            <c:idx val="5"/>
            <c:invertIfNegative val="0"/>
            <c:bubble3D val="0"/>
            <c:spPr>
              <a:solidFill>
                <a:srgbClr val="548235"/>
              </a:solidFill>
              <a:ln>
                <a:noFill/>
              </a:ln>
              <a:effectLst/>
            </c:spPr>
            <c:extLst>
              <c:ext xmlns:c16="http://schemas.microsoft.com/office/drawing/2014/chart" uri="{C3380CC4-5D6E-409C-BE32-E72D297353CC}">
                <c16:uniqueId val="{00000006-8247-4015-86C7-D0284D7B6144}"/>
              </c:ext>
            </c:extLst>
          </c:dPt>
          <c:dPt>
            <c:idx val="6"/>
            <c:invertIfNegative val="0"/>
            <c:bubble3D val="0"/>
            <c:spPr>
              <a:solidFill>
                <a:srgbClr val="548235"/>
              </a:solidFill>
              <a:ln>
                <a:noFill/>
              </a:ln>
              <a:effectLst/>
            </c:spPr>
            <c:extLst>
              <c:ext xmlns:c16="http://schemas.microsoft.com/office/drawing/2014/chart" uri="{C3380CC4-5D6E-409C-BE32-E72D297353CC}">
                <c16:uniqueId val="{00000007-8247-4015-86C7-D0284D7B6144}"/>
              </c:ext>
            </c:extLst>
          </c:dPt>
          <c:dPt>
            <c:idx val="7"/>
            <c:invertIfNegative val="0"/>
            <c:bubble3D val="0"/>
            <c:spPr>
              <a:solidFill>
                <a:srgbClr val="548235"/>
              </a:solidFill>
              <a:ln>
                <a:noFill/>
              </a:ln>
              <a:effectLst/>
            </c:spPr>
            <c:extLst>
              <c:ext xmlns:c16="http://schemas.microsoft.com/office/drawing/2014/chart" uri="{C3380CC4-5D6E-409C-BE32-E72D297353CC}">
                <c16:uniqueId val="{00000008-8247-4015-86C7-D0284D7B6144}"/>
              </c:ext>
            </c:extLst>
          </c:dPt>
          <c:dLbls>
            <c:numFmt formatCode="0.00;\(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'Business Performance Scorecard'!$K$220:$K$227</c:f>
              <c:numCache>
                <c:formatCode>General</c:formatCode>
                <c:ptCount val="8"/>
                <c:pt idx="0">
                  <c:v>7.1154030300897242</c:v>
                </c:pt>
                <c:pt idx="1">
                  <c:v>-0.33269707920788916</c:v>
                </c:pt>
                <c:pt idx="2">
                  <c:v>1.137044012948379</c:v>
                </c:pt>
                <c:pt idx="3">
                  <c:v>2.3208796673988936</c:v>
                </c:pt>
                <c:pt idx="4">
                  <c:v>2.7889998979982713</c:v>
                </c:pt>
                <c:pt idx="5">
                  <c:v>2.9853932441103237</c:v>
                </c:pt>
                <c:pt idx="6">
                  <c:v>3.0415307172793975</c:v>
                </c:pt>
                <c:pt idx="7">
                  <c:v>3.2075482563294671</c:v>
                </c:pt>
              </c:numCache>
            </c:numRef>
          </c:val>
          <c:extLst>
            <c:ext xmlns:c15="http://schemas.microsoft.com/office/drawing/2012/chart" uri="{02D57815-91ED-43cb-92C2-25804820EDAC}">
              <c15:filteredCategoryTitle>
                <c15:cat>
                  <c:strRef>
                    <c:extLst>
                      <c:ext uri="{02D57815-91ED-43cb-92C2-25804820EDAC}">
                        <c15:formulaRef>
                          <c15:sqref>'Business Performance Scorecard'!$J$220:$J$227</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00-8247-4015-86C7-D0284D7B6144}"/>
            </c:ext>
          </c:extLst>
        </c:ser>
        <c:ser>
          <c:idx val="1"/>
          <c:order val="1"/>
          <c:tx>
            <c:v>RBI NBFC sector benchmark</c:v>
          </c:tx>
          <c:spPr>
            <a:solidFill>
              <a:srgbClr val="BFBFBF"/>
            </a:solidFill>
            <a:ln w="25400">
              <a:noFill/>
            </a:ln>
            <a:effectLst/>
          </c:spPr>
          <c:invertIfNegative val="0"/>
          <c:val>
            <c:numRef>
              <c:f>'Business Performance Scorecard'!$L$220:$L$227</c:f>
              <c:numCache>
                <c:formatCode>General</c:formatCode>
                <c:ptCount val="8"/>
                <c:pt idx="0">
                  <c:v>0</c:v>
                </c:pt>
                <c:pt idx="1">
                  <c:v>0</c:v>
                </c:pt>
                <c:pt idx="2">
                  <c:v>0</c:v>
                </c:pt>
                <c:pt idx="3">
                  <c:v>0</c:v>
                </c:pt>
                <c:pt idx="4">
                  <c:v>0</c:v>
                </c:pt>
                <c:pt idx="5">
                  <c:v>0</c:v>
                </c:pt>
                <c:pt idx="6">
                  <c:v>0</c:v>
                </c:pt>
                <c:pt idx="7">
                  <c:v>0</c:v>
                </c:pt>
              </c:numCache>
            </c:numRef>
          </c:val>
          <c:extLst>
            <c:ext xmlns:c15="http://schemas.microsoft.com/office/drawing/2012/chart" uri="{02D57815-91ED-43cb-92C2-25804820EDAC}">
              <c15:filteredCategoryTitle>
                <c15:cat>
                  <c:strRef>
                    <c:extLst>
                      <c:ext uri="{02D57815-91ED-43cb-92C2-25804820EDAC}">
                        <c15:formulaRef>
                          <c15:sqref>'Business Performance Scorecard'!$J$220:$J$227</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10-03A6-4B52-99C5-E97D2D6F6E6C}"/>
            </c:ext>
          </c:extLst>
        </c:ser>
        <c:dLbls>
          <c:showLegendKey val="0"/>
          <c:showVal val="0"/>
          <c:showCatName val="0"/>
          <c:showSerName val="0"/>
          <c:showPercent val="0"/>
          <c:showBubbleSize val="0"/>
        </c:dLbls>
        <c:gapWidth val="40"/>
        <c:axId val="666496319"/>
        <c:axId val="666494879"/>
      </c:barChart>
      <c:catAx>
        <c:axId val="66649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404040"/>
                </a:solidFill>
                <a:latin typeface="+mn-lt"/>
                <a:ea typeface="+mn-ea"/>
                <a:cs typeface="+mn-cs"/>
              </a:defRPr>
            </a:pPr>
            <a:endParaRPr lang="en-US"/>
          </a:p>
        </c:txPr>
        <c:crossAx val="666494879"/>
        <c:crosses val="autoZero"/>
        <c:auto val="1"/>
        <c:lblAlgn val="ctr"/>
        <c:lblOffset val="100"/>
        <c:noMultiLvlLbl val="0"/>
      </c:catAx>
      <c:valAx>
        <c:axId val="666494879"/>
        <c:scaling>
          <c:orientation val="minMax"/>
        </c:scaling>
        <c:delete val="1"/>
        <c:axPos val="b"/>
        <c:numFmt formatCode="General" sourceLinked="1"/>
        <c:majorTickMark val="none"/>
        <c:minorTickMark val="none"/>
        <c:tickLblPos val="nextTo"/>
        <c:crossAx val="666496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1F9AA8"/>
              </a:solidFill>
              <a:ln>
                <a:noFill/>
              </a:ln>
              <a:effectLst/>
            </c:spPr>
            <c:extLst>
              <c:ext xmlns:c16="http://schemas.microsoft.com/office/drawing/2014/chart" uri="{C3380CC4-5D6E-409C-BE32-E72D297353CC}">
                <c16:uniqueId val="{00000001-3C56-46B0-B328-36C74A1995BC}"/>
              </c:ext>
            </c:extLst>
          </c:dPt>
          <c:dPt>
            <c:idx val="1"/>
            <c:invertIfNegative val="0"/>
            <c:bubble3D val="0"/>
            <c:spPr>
              <a:solidFill>
                <a:srgbClr val="1F9AA8"/>
              </a:solidFill>
              <a:ln>
                <a:noFill/>
              </a:ln>
              <a:effectLst/>
            </c:spPr>
            <c:extLst>
              <c:ext xmlns:c16="http://schemas.microsoft.com/office/drawing/2014/chart" uri="{C3380CC4-5D6E-409C-BE32-E72D297353CC}">
                <c16:uniqueId val="{00000002-3C56-46B0-B328-36C74A1995BC}"/>
              </c:ext>
            </c:extLst>
          </c:dPt>
          <c:dPt>
            <c:idx val="2"/>
            <c:invertIfNegative val="0"/>
            <c:bubble3D val="0"/>
            <c:spPr>
              <a:solidFill>
                <a:srgbClr val="1F9AA8"/>
              </a:solidFill>
              <a:ln>
                <a:noFill/>
              </a:ln>
              <a:effectLst/>
            </c:spPr>
            <c:extLst>
              <c:ext xmlns:c16="http://schemas.microsoft.com/office/drawing/2014/chart" uri="{C3380CC4-5D6E-409C-BE32-E72D297353CC}">
                <c16:uniqueId val="{00000003-3C56-46B0-B328-36C74A1995BC}"/>
              </c:ext>
            </c:extLst>
          </c:dPt>
          <c:dPt>
            <c:idx val="3"/>
            <c:invertIfNegative val="0"/>
            <c:bubble3D val="0"/>
            <c:spPr>
              <a:solidFill>
                <a:srgbClr val="548235"/>
              </a:solidFill>
              <a:ln>
                <a:noFill/>
              </a:ln>
              <a:effectLst/>
            </c:spPr>
            <c:extLst>
              <c:ext xmlns:c16="http://schemas.microsoft.com/office/drawing/2014/chart" uri="{C3380CC4-5D6E-409C-BE32-E72D297353CC}">
                <c16:uniqueId val="{00000004-3C56-46B0-B328-36C74A1995BC}"/>
              </c:ext>
            </c:extLst>
          </c:dPt>
          <c:dPt>
            <c:idx val="4"/>
            <c:invertIfNegative val="0"/>
            <c:bubble3D val="0"/>
            <c:spPr>
              <a:solidFill>
                <a:srgbClr val="548235"/>
              </a:solidFill>
              <a:ln>
                <a:noFill/>
              </a:ln>
              <a:effectLst/>
            </c:spPr>
            <c:extLst>
              <c:ext xmlns:c16="http://schemas.microsoft.com/office/drawing/2014/chart" uri="{C3380CC4-5D6E-409C-BE32-E72D297353CC}">
                <c16:uniqueId val="{00000005-3C56-46B0-B328-36C74A1995BC}"/>
              </c:ext>
            </c:extLst>
          </c:dPt>
          <c:dPt>
            <c:idx val="5"/>
            <c:invertIfNegative val="0"/>
            <c:bubble3D val="0"/>
            <c:spPr>
              <a:solidFill>
                <a:srgbClr val="548235"/>
              </a:solidFill>
              <a:ln>
                <a:noFill/>
              </a:ln>
              <a:effectLst/>
            </c:spPr>
            <c:extLst>
              <c:ext xmlns:c16="http://schemas.microsoft.com/office/drawing/2014/chart" uri="{C3380CC4-5D6E-409C-BE32-E72D297353CC}">
                <c16:uniqueId val="{00000006-3C56-46B0-B328-36C74A1995BC}"/>
              </c:ext>
            </c:extLst>
          </c:dPt>
          <c:dPt>
            <c:idx val="6"/>
            <c:invertIfNegative val="0"/>
            <c:bubble3D val="0"/>
            <c:spPr>
              <a:solidFill>
                <a:srgbClr val="548235"/>
              </a:solidFill>
              <a:ln>
                <a:noFill/>
              </a:ln>
              <a:effectLst/>
            </c:spPr>
            <c:extLst>
              <c:ext xmlns:c16="http://schemas.microsoft.com/office/drawing/2014/chart" uri="{C3380CC4-5D6E-409C-BE32-E72D297353CC}">
                <c16:uniqueId val="{00000007-3C56-46B0-B328-36C74A1995BC}"/>
              </c:ext>
            </c:extLst>
          </c:dPt>
          <c:dPt>
            <c:idx val="7"/>
            <c:invertIfNegative val="0"/>
            <c:bubble3D val="0"/>
            <c:spPr>
              <a:solidFill>
                <a:srgbClr val="548235"/>
              </a:solidFill>
              <a:ln>
                <a:noFill/>
              </a:ln>
              <a:effectLst/>
            </c:spPr>
            <c:extLst>
              <c:ext xmlns:c16="http://schemas.microsoft.com/office/drawing/2014/chart" uri="{C3380CC4-5D6E-409C-BE32-E72D297353CC}">
                <c16:uniqueId val="{00000008-3C56-46B0-B328-36C74A1995BC}"/>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'Business Performance Scorecard'!$K$229:$K$236</c:f>
              <c:numCache>
                <c:formatCode>General</c:formatCode>
                <c:ptCount val="8"/>
                <c:pt idx="0">
                  <c:v>8167.08</c:v>
                </c:pt>
                <c:pt idx="1">
                  <c:v>8174.66</c:v>
                </c:pt>
                <c:pt idx="2">
                  <c:v>10348.24</c:v>
                </c:pt>
                <c:pt idx="3">
                  <c:v>17112.363122489227</c:v>
                </c:pt>
                <c:pt idx="4">
                  <c:v>24513.371176254397</c:v>
                </c:pt>
                <c:pt idx="5">
                  <c:v>32781.477045956861</c:v>
                </c:pt>
                <c:pt idx="6">
                  <c:v>41850.448271130641</c:v>
                </c:pt>
                <c:pt idx="7">
                  <c:v>51898.574664218329</c:v>
                </c:pt>
              </c:numCache>
            </c:numRef>
          </c:val>
          <c:extLst>
            <c:ext xmlns:c15="http://schemas.microsoft.com/office/drawing/2012/chart" uri="{02D57815-91ED-43cb-92C2-25804820EDAC}">
              <c15:filteredCategoryTitle>
                <c15:cat>
                  <c:strRef>
                    <c:extLst>
                      <c:ext uri="{02D57815-91ED-43cb-92C2-25804820EDAC}">
                        <c15:formulaRef>
                          <c15:sqref>'Business Performance Scorecard'!$J$229:$J$236</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00-3C56-46B0-B328-36C74A1995BC}"/>
            </c:ext>
          </c:extLst>
        </c:ser>
        <c:dLbls>
          <c:showLegendKey val="0"/>
          <c:showVal val="0"/>
          <c:showCatName val="0"/>
          <c:showSerName val="0"/>
          <c:showPercent val="0"/>
          <c:showBubbleSize val="0"/>
        </c:dLbls>
        <c:gapWidth val="40"/>
        <c:axId val="402323007"/>
        <c:axId val="402318687"/>
      </c:barChart>
      <c:catAx>
        <c:axId val="402323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404040"/>
                </a:solidFill>
                <a:latin typeface="+mn-lt"/>
                <a:ea typeface="+mn-ea"/>
                <a:cs typeface="+mn-cs"/>
              </a:defRPr>
            </a:pPr>
            <a:endParaRPr lang="en-US"/>
          </a:p>
        </c:txPr>
        <c:crossAx val="402318687"/>
        <c:crosses val="autoZero"/>
        <c:auto val="1"/>
        <c:lblAlgn val="ctr"/>
        <c:lblOffset val="100"/>
        <c:noMultiLvlLbl val="0"/>
      </c:catAx>
      <c:valAx>
        <c:axId val="402318687"/>
        <c:scaling>
          <c:orientation val="minMax"/>
        </c:scaling>
        <c:delete val="1"/>
        <c:axPos val="b"/>
        <c:numFmt formatCode="General" sourceLinked="1"/>
        <c:majorTickMark val="none"/>
        <c:minorTickMark val="none"/>
        <c:tickLblPos val="nextTo"/>
        <c:crossAx val="40232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Poonawalla Fincorp</c:v>
          </c:tx>
          <c:spPr>
            <a:solidFill>
              <a:schemeClr val="accent1"/>
            </a:solidFill>
            <a:ln>
              <a:noFill/>
            </a:ln>
            <a:effectLst/>
          </c:spPr>
          <c:invertIfNegative val="0"/>
          <c:dPt>
            <c:idx val="0"/>
            <c:invertIfNegative val="0"/>
            <c:bubble3D val="0"/>
            <c:spPr>
              <a:solidFill>
                <a:srgbClr val="1F9AA8"/>
              </a:solidFill>
              <a:ln>
                <a:noFill/>
              </a:ln>
              <a:effectLst/>
            </c:spPr>
            <c:extLst>
              <c:ext xmlns:c16="http://schemas.microsoft.com/office/drawing/2014/chart" uri="{C3380CC4-5D6E-409C-BE32-E72D297353CC}">
                <c16:uniqueId val="{00000001-38D2-4952-8EA3-7D1244CD3984}"/>
              </c:ext>
            </c:extLst>
          </c:dPt>
          <c:dPt>
            <c:idx val="1"/>
            <c:invertIfNegative val="0"/>
            <c:bubble3D val="0"/>
            <c:spPr>
              <a:solidFill>
                <a:srgbClr val="1F9AA8"/>
              </a:solidFill>
              <a:ln>
                <a:noFill/>
              </a:ln>
              <a:effectLst/>
            </c:spPr>
            <c:extLst>
              <c:ext xmlns:c16="http://schemas.microsoft.com/office/drawing/2014/chart" uri="{C3380CC4-5D6E-409C-BE32-E72D297353CC}">
                <c16:uniqueId val="{00000002-38D2-4952-8EA3-7D1244CD3984}"/>
              </c:ext>
            </c:extLst>
          </c:dPt>
          <c:dPt>
            <c:idx val="2"/>
            <c:invertIfNegative val="0"/>
            <c:bubble3D val="0"/>
            <c:spPr>
              <a:solidFill>
                <a:srgbClr val="1F9AA8"/>
              </a:solidFill>
              <a:ln>
                <a:noFill/>
              </a:ln>
              <a:effectLst/>
            </c:spPr>
            <c:extLst>
              <c:ext xmlns:c16="http://schemas.microsoft.com/office/drawing/2014/chart" uri="{C3380CC4-5D6E-409C-BE32-E72D297353CC}">
                <c16:uniqueId val="{00000003-38D2-4952-8EA3-7D1244CD3984}"/>
              </c:ext>
            </c:extLst>
          </c:dPt>
          <c:dPt>
            <c:idx val="3"/>
            <c:invertIfNegative val="0"/>
            <c:bubble3D val="0"/>
            <c:spPr>
              <a:solidFill>
                <a:srgbClr val="548235"/>
              </a:solidFill>
              <a:ln>
                <a:noFill/>
              </a:ln>
              <a:effectLst/>
            </c:spPr>
            <c:extLst>
              <c:ext xmlns:c16="http://schemas.microsoft.com/office/drawing/2014/chart" uri="{C3380CC4-5D6E-409C-BE32-E72D297353CC}">
                <c16:uniqueId val="{00000004-38D2-4952-8EA3-7D1244CD3984}"/>
              </c:ext>
            </c:extLst>
          </c:dPt>
          <c:dPt>
            <c:idx val="4"/>
            <c:invertIfNegative val="0"/>
            <c:bubble3D val="0"/>
            <c:spPr>
              <a:solidFill>
                <a:srgbClr val="548235"/>
              </a:solidFill>
              <a:ln>
                <a:noFill/>
              </a:ln>
              <a:effectLst/>
            </c:spPr>
            <c:extLst>
              <c:ext xmlns:c16="http://schemas.microsoft.com/office/drawing/2014/chart" uri="{C3380CC4-5D6E-409C-BE32-E72D297353CC}">
                <c16:uniqueId val="{00000005-38D2-4952-8EA3-7D1244CD3984}"/>
              </c:ext>
            </c:extLst>
          </c:dPt>
          <c:dPt>
            <c:idx val="5"/>
            <c:invertIfNegative val="0"/>
            <c:bubble3D val="0"/>
            <c:spPr>
              <a:solidFill>
                <a:srgbClr val="548235"/>
              </a:solidFill>
              <a:ln>
                <a:noFill/>
              </a:ln>
              <a:effectLst/>
            </c:spPr>
            <c:extLst>
              <c:ext xmlns:c16="http://schemas.microsoft.com/office/drawing/2014/chart" uri="{C3380CC4-5D6E-409C-BE32-E72D297353CC}">
                <c16:uniqueId val="{00000006-38D2-4952-8EA3-7D1244CD3984}"/>
              </c:ext>
            </c:extLst>
          </c:dPt>
          <c:dPt>
            <c:idx val="6"/>
            <c:invertIfNegative val="0"/>
            <c:bubble3D val="0"/>
            <c:spPr>
              <a:solidFill>
                <a:srgbClr val="548235"/>
              </a:solidFill>
              <a:ln>
                <a:noFill/>
              </a:ln>
              <a:effectLst/>
            </c:spPr>
            <c:extLst>
              <c:ext xmlns:c16="http://schemas.microsoft.com/office/drawing/2014/chart" uri="{C3380CC4-5D6E-409C-BE32-E72D297353CC}">
                <c16:uniqueId val="{00000007-38D2-4952-8EA3-7D1244CD3984}"/>
              </c:ext>
            </c:extLst>
          </c:dPt>
          <c:dPt>
            <c:idx val="7"/>
            <c:invertIfNegative val="0"/>
            <c:bubble3D val="0"/>
            <c:spPr>
              <a:solidFill>
                <a:srgbClr val="548235"/>
              </a:solidFill>
              <a:ln>
                <a:noFill/>
              </a:ln>
              <a:effectLst/>
            </c:spPr>
            <c:extLst>
              <c:ext xmlns:c16="http://schemas.microsoft.com/office/drawing/2014/chart" uri="{C3380CC4-5D6E-409C-BE32-E72D297353CC}">
                <c16:uniqueId val="{00000008-38D2-4952-8EA3-7D1244CD3984}"/>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'Business Performance Scorecard'!$K$238:$K$245</c:f>
              <c:numCache>
                <c:formatCode>General</c:formatCode>
                <c:ptCount val="8"/>
                <c:pt idx="0">
                  <c:v>33.799999999999997</c:v>
                </c:pt>
                <c:pt idx="1">
                  <c:v>22.94</c:v>
                </c:pt>
                <c:pt idx="2">
                  <c:v>16.829999999999998</c:v>
                </c:pt>
                <c:pt idx="3">
                  <c:v>18.601956223687178</c:v>
                </c:pt>
                <c:pt idx="4">
                  <c:v>18.583348278693247</c:v>
                </c:pt>
                <c:pt idx="5">
                  <c:v>18.574911841901116</c:v>
                </c:pt>
                <c:pt idx="6">
                  <c:v>18.570179965834289</c:v>
                </c:pt>
                <c:pt idx="7">
                  <c:v>18.56802003204761</c:v>
                </c:pt>
              </c:numCache>
            </c:numRef>
          </c:val>
          <c:extLst>
            <c:ext xmlns:c15="http://schemas.microsoft.com/office/drawing/2012/chart" uri="{02D57815-91ED-43cb-92C2-25804820EDAC}">
              <c15:filteredCategoryTitle>
                <c15:cat>
                  <c:strRef>
                    <c:extLst>
                      <c:ext uri="{02D57815-91ED-43cb-92C2-25804820EDAC}">
                        <c15:formulaRef>
                          <c15:sqref>'Business Performance Scorecard'!$J$238:$J$245</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00-38D2-4952-8EA3-7D1244CD3984}"/>
            </c:ext>
          </c:extLst>
        </c:ser>
        <c:ser>
          <c:idx val="1"/>
          <c:order val="1"/>
          <c:tx>
            <c:v>RBI NBFC sector benchmark</c:v>
          </c:tx>
          <c:spPr>
            <a:solidFill>
              <a:srgbClr val="BFBFBF"/>
            </a:solidFill>
            <a:ln w="25400">
              <a:noFill/>
            </a:ln>
            <a:effectLst/>
          </c:spPr>
          <c:invertIfNegative val="0"/>
          <c:val>
            <c:numRef>
              <c:f>'Business Performance Scorecard'!$L$238:$L$245</c:f>
              <c:numCache>
                <c:formatCode>General</c:formatCode>
                <c:ptCount val="8"/>
                <c:pt idx="0">
                  <c:v>0</c:v>
                </c:pt>
                <c:pt idx="1">
                  <c:v>0</c:v>
                </c:pt>
                <c:pt idx="2">
                  <c:v>0</c:v>
                </c:pt>
                <c:pt idx="3">
                  <c:v>0</c:v>
                </c:pt>
                <c:pt idx="4">
                  <c:v>0</c:v>
                </c:pt>
                <c:pt idx="5">
                  <c:v>0</c:v>
                </c:pt>
                <c:pt idx="6">
                  <c:v>0</c:v>
                </c:pt>
                <c:pt idx="7">
                  <c:v>0</c:v>
                </c:pt>
              </c:numCache>
            </c:numRef>
          </c:val>
          <c:extLst>
            <c:ext xmlns:c15="http://schemas.microsoft.com/office/drawing/2012/chart" uri="{02D57815-91ED-43cb-92C2-25804820EDAC}">
              <c15:filteredCategoryTitle>
                <c15:cat>
                  <c:strRef>
                    <c:extLst>
                      <c:ext uri="{02D57815-91ED-43cb-92C2-25804820EDAC}">
                        <c15:formulaRef>
                          <c15:sqref>'Business Performance Scorecard'!$J$238:$J$245</c15:sqref>
                        </c15:formulaRef>
                      </c:ext>
                    </c:extLst>
                    <c:strCache>
                      <c:ptCount val="8"/>
                      <c:pt idx="0">
                        <c:v>FY24</c:v>
                      </c:pt>
                      <c:pt idx="1">
                        <c:v>FY25</c:v>
                      </c:pt>
                      <c:pt idx="2">
                        <c:v>FY26</c:v>
                      </c:pt>
                      <c:pt idx="3">
                        <c:v>FY27E</c:v>
                      </c:pt>
                      <c:pt idx="4">
                        <c:v>FY28E</c:v>
                      </c:pt>
                      <c:pt idx="5">
                        <c:v>FY29E</c:v>
                      </c:pt>
                      <c:pt idx="6">
                        <c:v>FY30E</c:v>
                      </c:pt>
                      <c:pt idx="7">
                        <c:v>FY31E</c:v>
                      </c:pt>
                    </c:strCache>
                  </c:strRef>
                </c15:cat>
              </c15:filteredCategoryTitle>
            </c:ext>
            <c:ext xmlns:c16="http://schemas.microsoft.com/office/drawing/2014/chart" uri="{C3380CC4-5D6E-409C-BE32-E72D297353CC}">
              <c16:uniqueId val="{00000010-04D2-45A0-ACDA-259010672F4D}"/>
            </c:ext>
          </c:extLst>
        </c:ser>
        <c:dLbls>
          <c:showLegendKey val="0"/>
          <c:showVal val="0"/>
          <c:showCatName val="0"/>
          <c:showSerName val="0"/>
          <c:showPercent val="0"/>
          <c:showBubbleSize val="0"/>
        </c:dLbls>
        <c:gapWidth val="40"/>
        <c:axId val="393145039"/>
        <c:axId val="393138799"/>
      </c:barChart>
      <c:catAx>
        <c:axId val="39314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404040"/>
                </a:solidFill>
                <a:latin typeface="+mn-lt"/>
                <a:ea typeface="+mn-ea"/>
                <a:cs typeface="+mn-cs"/>
              </a:defRPr>
            </a:pPr>
            <a:endParaRPr lang="en-US"/>
          </a:p>
        </c:txPr>
        <c:crossAx val="393138799"/>
        <c:crosses val="autoZero"/>
        <c:auto val="1"/>
        <c:lblAlgn val="ctr"/>
        <c:lblOffset val="100"/>
        <c:noMultiLvlLbl val="0"/>
      </c:catAx>
      <c:valAx>
        <c:axId val="393138799"/>
        <c:scaling>
          <c:orientation val="minMax"/>
        </c:scaling>
        <c:delete val="1"/>
        <c:axPos val="b"/>
        <c:numFmt formatCode="General" sourceLinked="1"/>
        <c:majorTickMark val="none"/>
        <c:minorTickMark val="none"/>
        <c:tickLblPos val="nextTo"/>
        <c:crossAx val="393145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Risk Heat Map: Probability vs. Impact</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12"/>
            <c:spPr>
              <a:solidFill>
                <a:schemeClr val="accent1"/>
              </a:solidFill>
              <a:ln w="9525">
                <a:solidFill>
                  <a:schemeClr val="accent1"/>
                </a:solidFill>
              </a:ln>
              <a:effectLst/>
            </c:spPr>
          </c:marker>
          <c:dPt>
            <c:idx val="0"/>
            <c:marker>
              <c:symbol val="circle"/>
              <c:size val="12"/>
              <c:spPr>
                <a:solidFill>
                  <a:srgbClr val="C00000"/>
                </a:solidFill>
                <a:ln w="9525">
                  <a:solidFill>
                    <a:schemeClr val="accent1"/>
                  </a:solidFill>
                </a:ln>
                <a:effectLst/>
              </c:spPr>
            </c:marker>
            <c:bubble3D val="0"/>
            <c:extLst>
              <c:ext xmlns:c16="http://schemas.microsoft.com/office/drawing/2014/chart" uri="{C3380CC4-5D6E-409C-BE32-E72D297353CC}">
                <c16:uniqueId val="{00000001-B9A2-4BA6-8459-94C75DFE7276}"/>
              </c:ext>
            </c:extLst>
          </c:dPt>
          <c:dPt>
            <c:idx val="1"/>
            <c:marker>
              <c:symbol val="circle"/>
              <c:size val="12"/>
              <c:spPr>
                <a:solidFill>
                  <a:srgbClr val="C00000"/>
                </a:solidFill>
                <a:ln w="9525">
                  <a:solidFill>
                    <a:schemeClr val="accent1"/>
                  </a:solidFill>
                </a:ln>
                <a:effectLst/>
              </c:spPr>
            </c:marker>
            <c:bubble3D val="0"/>
            <c:extLst>
              <c:ext xmlns:c16="http://schemas.microsoft.com/office/drawing/2014/chart" uri="{C3380CC4-5D6E-409C-BE32-E72D297353CC}">
                <c16:uniqueId val="{00000002-B9A2-4BA6-8459-94C75DFE7276}"/>
              </c:ext>
            </c:extLst>
          </c:dPt>
          <c:dPt>
            <c:idx val="2"/>
            <c:marker>
              <c:symbol val="circle"/>
              <c:size val="12"/>
              <c:spPr>
                <a:solidFill>
                  <a:srgbClr val="1F9AA8"/>
                </a:solidFill>
                <a:ln w="9525">
                  <a:solidFill>
                    <a:schemeClr val="accent1"/>
                  </a:solidFill>
                </a:ln>
                <a:effectLst/>
              </c:spPr>
            </c:marker>
            <c:bubble3D val="0"/>
            <c:extLst>
              <c:ext xmlns:c16="http://schemas.microsoft.com/office/drawing/2014/chart" uri="{C3380CC4-5D6E-409C-BE32-E72D297353CC}">
                <c16:uniqueId val="{00000003-B9A2-4BA6-8459-94C75DFE7276}"/>
              </c:ext>
            </c:extLst>
          </c:dPt>
          <c:dPt>
            <c:idx val="3"/>
            <c:marker>
              <c:symbol val="circle"/>
              <c:size val="12"/>
              <c:spPr>
                <a:solidFill>
                  <a:srgbClr val="1F9AA8"/>
                </a:solidFill>
                <a:ln w="9525">
                  <a:solidFill>
                    <a:schemeClr val="accent1"/>
                  </a:solidFill>
                </a:ln>
                <a:effectLst/>
              </c:spPr>
            </c:marker>
            <c:bubble3D val="0"/>
            <c:extLst>
              <c:ext xmlns:c16="http://schemas.microsoft.com/office/drawing/2014/chart" uri="{C3380CC4-5D6E-409C-BE32-E72D297353CC}">
                <c16:uniqueId val="{00000004-B9A2-4BA6-8459-94C75DFE7276}"/>
              </c:ext>
            </c:extLst>
          </c:dPt>
          <c:dPt>
            <c:idx val="4"/>
            <c:marker>
              <c:symbol val="circle"/>
              <c:size val="12"/>
              <c:spPr>
                <a:solidFill>
                  <a:srgbClr val="E97132"/>
                </a:solidFill>
                <a:ln w="9525">
                  <a:solidFill>
                    <a:schemeClr val="accent1"/>
                  </a:solidFill>
                </a:ln>
                <a:effectLst/>
              </c:spPr>
            </c:marker>
            <c:bubble3D val="0"/>
            <c:extLst>
              <c:ext xmlns:c16="http://schemas.microsoft.com/office/drawing/2014/chart" uri="{C3380CC4-5D6E-409C-BE32-E72D297353CC}">
                <c16:uniqueId val="{00000005-B9A2-4BA6-8459-94C75DFE7276}"/>
              </c:ext>
            </c:extLst>
          </c:dPt>
          <c:dPt>
            <c:idx val="5"/>
            <c:marker>
              <c:symbol val="circle"/>
              <c:size val="12"/>
              <c:spPr>
                <a:solidFill>
                  <a:srgbClr val="1F9AA8"/>
                </a:solidFill>
                <a:ln w="9525">
                  <a:solidFill>
                    <a:schemeClr val="accent1"/>
                  </a:solidFill>
                </a:ln>
                <a:effectLst/>
              </c:spPr>
            </c:marker>
            <c:bubble3D val="0"/>
            <c:extLst>
              <c:ext xmlns:c16="http://schemas.microsoft.com/office/drawing/2014/chart" uri="{C3380CC4-5D6E-409C-BE32-E72D297353CC}">
                <c16:uniqueId val="{00000006-B9A2-4BA6-8459-94C75DFE7276}"/>
              </c:ext>
            </c:extLst>
          </c:dPt>
          <c:dPt>
            <c:idx val="6"/>
            <c:marker>
              <c:symbol val="circle"/>
              <c:size val="12"/>
              <c:spPr>
                <a:solidFill>
                  <a:srgbClr val="1F9AA8"/>
                </a:solidFill>
                <a:ln w="9525">
                  <a:solidFill>
                    <a:schemeClr val="accent1"/>
                  </a:solidFill>
                </a:ln>
                <a:effectLst/>
              </c:spPr>
            </c:marker>
            <c:bubble3D val="0"/>
            <c:extLst>
              <c:ext xmlns:c16="http://schemas.microsoft.com/office/drawing/2014/chart" uri="{C3380CC4-5D6E-409C-BE32-E72D297353CC}">
                <c16:uniqueId val="{00000007-B9A2-4BA6-8459-94C75DFE7276}"/>
              </c:ext>
            </c:extLst>
          </c:dPt>
          <c:dPt>
            <c:idx val="7"/>
            <c:marker>
              <c:symbol val="circle"/>
              <c:size val="12"/>
              <c:spPr>
                <a:solidFill>
                  <a:srgbClr val="E97132"/>
                </a:solidFill>
                <a:ln w="9525">
                  <a:solidFill>
                    <a:schemeClr val="accent1"/>
                  </a:solidFill>
                </a:ln>
                <a:effectLst/>
              </c:spPr>
            </c:marker>
            <c:bubble3D val="0"/>
            <c:extLst>
              <c:ext xmlns:c16="http://schemas.microsoft.com/office/drawing/2014/chart" uri="{C3380CC4-5D6E-409C-BE32-E72D297353CC}">
                <c16:uniqueId val="{00000008-B9A2-4BA6-8459-94C75DFE7276}"/>
              </c:ext>
            </c:extLst>
          </c:dPt>
          <c:dPt>
            <c:idx val="8"/>
            <c:marker>
              <c:symbol val="circle"/>
              <c:size val="12"/>
              <c:spPr>
                <a:solidFill>
                  <a:srgbClr val="1F9AA8"/>
                </a:solidFill>
                <a:ln w="9525">
                  <a:solidFill>
                    <a:schemeClr val="accent1"/>
                  </a:solidFill>
                </a:ln>
                <a:effectLst/>
              </c:spPr>
            </c:marker>
            <c:bubble3D val="0"/>
            <c:extLst>
              <c:ext xmlns:c16="http://schemas.microsoft.com/office/drawing/2014/chart" uri="{C3380CC4-5D6E-409C-BE32-E72D297353CC}">
                <c16:uniqueId val="{00000009-B9A2-4BA6-8459-94C75DFE7276}"/>
              </c:ext>
            </c:extLst>
          </c:dPt>
          <c:dPt>
            <c:idx val="9"/>
            <c:marker>
              <c:symbol val="circle"/>
              <c:size val="12"/>
              <c:spPr>
                <a:solidFill>
                  <a:srgbClr val="E97132"/>
                </a:solidFill>
                <a:ln w="9525">
                  <a:solidFill>
                    <a:schemeClr val="accent1"/>
                  </a:solidFill>
                </a:ln>
                <a:effectLst/>
              </c:spPr>
            </c:marker>
            <c:bubble3D val="0"/>
            <c:extLst>
              <c:ext xmlns:c16="http://schemas.microsoft.com/office/drawing/2014/chart" uri="{C3380CC4-5D6E-409C-BE32-E72D297353CC}">
                <c16:uniqueId val="{0000000A-B9A2-4BA6-8459-94C75DFE7276}"/>
              </c:ext>
            </c:extLst>
          </c:dPt>
          <c:dLbls>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r>
                      <a:rPr lang="en-US"/>
                      <a:t>Credit Risk</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9A2-4BA6-8459-94C75DFE7276}"/>
                </c:ext>
              </c:extLst>
            </c:dLbl>
            <c:dLbl>
              <c:idx val="1"/>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r>
                      <a:rPr lang="en-US"/>
                      <a:t>Liquidity Risk</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9A2-4BA6-8459-94C75DFE7276}"/>
                </c:ext>
              </c:extLst>
            </c:dLbl>
            <c:dLbl>
              <c:idx val="2"/>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r>
                      <a:rPr lang="en-US"/>
                      <a:t>Interest Rate Risk</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9A2-4BA6-8459-94C75DFE7276}"/>
                </c:ext>
              </c:extLst>
            </c:dLbl>
            <c:dLbl>
              <c:idx val="3"/>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r>
                      <a:rPr lang="en-US"/>
                      <a:t>Operational Risk</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9A2-4BA6-8459-94C75DFE7276}"/>
                </c:ext>
              </c:extLst>
            </c:dLbl>
            <c:dLbl>
              <c:idx val="4"/>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r>
                      <a:rPr lang="en-US"/>
                      <a:t>Business Growth Risk</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9A2-4BA6-8459-94C75DFE7276}"/>
                </c:ext>
              </c:extLst>
            </c:dLbl>
            <c:dLbl>
              <c:idx val="5"/>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r>
                      <a:rPr lang="en-US"/>
                      <a:t>Branch Productivity Risk</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9A2-4BA6-8459-94C75DFE7276}"/>
                </c:ext>
              </c:extLst>
            </c:dLbl>
            <c:dLbl>
              <c:idx val="6"/>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r>
                      <a:rPr lang="en-US"/>
                      <a:t>Customer Risk</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9A2-4BA6-8459-94C75DFE7276}"/>
                </c:ext>
              </c:extLst>
            </c:dLbl>
            <c:dLbl>
              <c:idx val="7"/>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r>
                      <a:rPr lang="en-US"/>
                      <a:t>Regulatory Risk</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9A2-4BA6-8459-94C75DFE7276}"/>
                </c:ext>
              </c:extLst>
            </c:dLbl>
            <c:dLbl>
              <c:idx val="8"/>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r>
                      <a:rPr lang="en-US"/>
                      <a:t>Technology Risk</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9A2-4BA6-8459-94C75DFE7276}"/>
                </c:ext>
              </c:extLst>
            </c:dLbl>
            <c:dLbl>
              <c:idx val="9"/>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r>
                      <a:rPr lang="en-US"/>
                      <a:t>Strategic Risk</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9A2-4BA6-8459-94C75DFE72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'Enterprise Risk Cockpit'!$C$22:$C$31</c:f>
              <c:numCache>
                <c:formatCode>General</c:formatCode>
                <c:ptCount val="10"/>
                <c:pt idx="0">
                  <c:v>3</c:v>
                </c:pt>
                <c:pt idx="1">
                  <c:v>2</c:v>
                </c:pt>
                <c:pt idx="2">
                  <c:v>2.85</c:v>
                </c:pt>
                <c:pt idx="3">
                  <c:v>3.15</c:v>
                </c:pt>
                <c:pt idx="4">
                  <c:v>1.85</c:v>
                </c:pt>
                <c:pt idx="5">
                  <c:v>3.15</c:v>
                </c:pt>
                <c:pt idx="6">
                  <c:v>2.85</c:v>
                </c:pt>
                <c:pt idx="7">
                  <c:v>2.15</c:v>
                </c:pt>
                <c:pt idx="8">
                  <c:v>2</c:v>
                </c:pt>
                <c:pt idx="9">
                  <c:v>3</c:v>
                </c:pt>
              </c:numCache>
            </c:numRef>
          </c:xVal>
          <c:yVal>
            <c:numRef>
              <c:f>'Enterprise Risk Cockpit'!$D$22:$D$31</c:f>
              <c:numCache>
                <c:formatCode>General</c:formatCode>
                <c:ptCount val="10"/>
                <c:pt idx="0">
                  <c:v>5</c:v>
                </c:pt>
                <c:pt idx="1">
                  <c:v>5</c:v>
                </c:pt>
                <c:pt idx="2">
                  <c:v>2.9</c:v>
                </c:pt>
                <c:pt idx="3">
                  <c:v>3.1</c:v>
                </c:pt>
                <c:pt idx="4">
                  <c:v>3.9</c:v>
                </c:pt>
                <c:pt idx="5">
                  <c:v>2.1</c:v>
                </c:pt>
                <c:pt idx="6">
                  <c:v>1.9</c:v>
                </c:pt>
                <c:pt idx="7">
                  <c:v>4.0999999999999996</c:v>
                </c:pt>
                <c:pt idx="8">
                  <c:v>2</c:v>
                </c:pt>
                <c:pt idx="9">
                  <c:v>4</c:v>
                </c:pt>
              </c:numCache>
            </c:numRef>
          </c:yVal>
          <c:smooth val="0"/>
          <c:extLst>
            <c:ext xmlns:c16="http://schemas.microsoft.com/office/drawing/2014/chart" uri="{C3380CC4-5D6E-409C-BE32-E72D297353CC}">
              <c16:uniqueId val="{00000000-B9A2-4BA6-8459-94C75DFE7276}"/>
            </c:ext>
          </c:extLst>
        </c:ser>
        <c:dLbls>
          <c:showLegendKey val="0"/>
          <c:showVal val="0"/>
          <c:showCatName val="0"/>
          <c:showSerName val="0"/>
          <c:showPercent val="0"/>
          <c:showBubbleSize val="0"/>
        </c:dLbls>
        <c:axId val="385690815"/>
        <c:axId val="385701375"/>
      </c:scatterChart>
      <c:valAx>
        <c:axId val="385690815"/>
        <c:scaling>
          <c:orientation val="minMax"/>
          <c:max val="5.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Probability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01375"/>
        <c:crosses val="autoZero"/>
        <c:crossBetween val="midCat"/>
      </c:valAx>
      <c:valAx>
        <c:axId val="385701375"/>
        <c:scaling>
          <c:orientation val="minMax"/>
          <c:max val="5.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Impact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690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3</xdr:col>
      <xdr:colOff>0</xdr:colOff>
      <xdr:row>14</xdr:row>
      <xdr:rowOff>0</xdr:rowOff>
    </xdr:to>
    <xdr:graphicFrame macro="">
      <xdr:nvGraphicFramePr>
        <xdr:cNvPr id="23" name="Chart 22">
          <a:extLst>
            <a:ext uri="{FF2B5EF4-FFF2-40B4-BE49-F238E27FC236}">
              <a16:creationId xmlns:a16="http://schemas.microsoft.com/office/drawing/2014/main" id="{64ED9EF2-13AA-B0F5-52BC-80219A77C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5</xdr:row>
      <xdr:rowOff>0</xdr:rowOff>
    </xdr:from>
    <xdr:to>
      <xdr:col>5</xdr:col>
      <xdr:colOff>0</xdr:colOff>
      <xdr:row>14</xdr:row>
      <xdr:rowOff>0</xdr:rowOff>
    </xdr:to>
    <xdr:graphicFrame macro="">
      <xdr:nvGraphicFramePr>
        <xdr:cNvPr id="24" name="Chart 23">
          <a:extLst>
            <a:ext uri="{FF2B5EF4-FFF2-40B4-BE49-F238E27FC236}">
              <a16:creationId xmlns:a16="http://schemas.microsoft.com/office/drawing/2014/main" id="{C433C0A1-929A-070F-9604-DF9BCEAAE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xdr:row>
      <xdr:rowOff>0</xdr:rowOff>
    </xdr:from>
    <xdr:to>
      <xdr:col>7</xdr:col>
      <xdr:colOff>0</xdr:colOff>
      <xdr:row>14</xdr:row>
      <xdr:rowOff>0</xdr:rowOff>
    </xdr:to>
    <xdr:graphicFrame macro="">
      <xdr:nvGraphicFramePr>
        <xdr:cNvPr id="25" name="Chart 24">
          <a:extLst>
            <a:ext uri="{FF2B5EF4-FFF2-40B4-BE49-F238E27FC236}">
              <a16:creationId xmlns:a16="http://schemas.microsoft.com/office/drawing/2014/main" id="{5D9CCDD8-68B2-1163-602C-39B6AA82C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25</xdr:row>
      <xdr:rowOff>0</xdr:rowOff>
    </xdr:from>
    <xdr:to>
      <xdr:col>3</xdr:col>
      <xdr:colOff>0</xdr:colOff>
      <xdr:row>34</xdr:row>
      <xdr:rowOff>0</xdr:rowOff>
    </xdr:to>
    <xdr:graphicFrame macro="">
      <xdr:nvGraphicFramePr>
        <xdr:cNvPr id="26" name="Chart 25">
          <a:extLst>
            <a:ext uri="{FF2B5EF4-FFF2-40B4-BE49-F238E27FC236}">
              <a16:creationId xmlns:a16="http://schemas.microsoft.com/office/drawing/2014/main" id="{24C80A67-F03E-B9C8-18E7-99B9BE456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25</xdr:row>
      <xdr:rowOff>0</xdr:rowOff>
    </xdr:from>
    <xdr:to>
      <xdr:col>5</xdr:col>
      <xdr:colOff>0</xdr:colOff>
      <xdr:row>34</xdr:row>
      <xdr:rowOff>0</xdr:rowOff>
    </xdr:to>
    <xdr:graphicFrame macro="">
      <xdr:nvGraphicFramePr>
        <xdr:cNvPr id="27" name="Chart 26">
          <a:extLst>
            <a:ext uri="{FF2B5EF4-FFF2-40B4-BE49-F238E27FC236}">
              <a16:creationId xmlns:a16="http://schemas.microsoft.com/office/drawing/2014/main" id="{5F7F4E43-4DF7-3105-8B41-37AFAE120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25</xdr:row>
      <xdr:rowOff>0</xdr:rowOff>
    </xdr:from>
    <xdr:to>
      <xdr:col>7</xdr:col>
      <xdr:colOff>0</xdr:colOff>
      <xdr:row>34</xdr:row>
      <xdr:rowOff>0</xdr:rowOff>
    </xdr:to>
    <xdr:graphicFrame macro="">
      <xdr:nvGraphicFramePr>
        <xdr:cNvPr id="28" name="Chart 27">
          <a:extLst>
            <a:ext uri="{FF2B5EF4-FFF2-40B4-BE49-F238E27FC236}">
              <a16:creationId xmlns:a16="http://schemas.microsoft.com/office/drawing/2014/main" id="{396DD934-0CFF-94EE-FA40-CDDCCE9E2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45</xdr:row>
      <xdr:rowOff>0</xdr:rowOff>
    </xdr:from>
    <xdr:to>
      <xdr:col>3</xdr:col>
      <xdr:colOff>0</xdr:colOff>
      <xdr:row>54</xdr:row>
      <xdr:rowOff>0</xdr:rowOff>
    </xdr:to>
    <xdr:graphicFrame macro="">
      <xdr:nvGraphicFramePr>
        <xdr:cNvPr id="29" name="Chart 28">
          <a:extLst>
            <a:ext uri="{FF2B5EF4-FFF2-40B4-BE49-F238E27FC236}">
              <a16:creationId xmlns:a16="http://schemas.microsoft.com/office/drawing/2014/main" id="{C6AA296E-C26E-1A39-7C6F-83CAB111C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45</xdr:row>
      <xdr:rowOff>0</xdr:rowOff>
    </xdr:from>
    <xdr:to>
      <xdr:col>5</xdr:col>
      <xdr:colOff>0</xdr:colOff>
      <xdr:row>54</xdr:row>
      <xdr:rowOff>0</xdr:rowOff>
    </xdr:to>
    <xdr:graphicFrame macro="">
      <xdr:nvGraphicFramePr>
        <xdr:cNvPr id="30" name="Chart 29">
          <a:extLst>
            <a:ext uri="{FF2B5EF4-FFF2-40B4-BE49-F238E27FC236}">
              <a16:creationId xmlns:a16="http://schemas.microsoft.com/office/drawing/2014/main" id="{9B0D5D1C-ACCD-478B-8DCD-B6EE1521C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45</xdr:row>
      <xdr:rowOff>0</xdr:rowOff>
    </xdr:from>
    <xdr:to>
      <xdr:col>7</xdr:col>
      <xdr:colOff>0</xdr:colOff>
      <xdr:row>54</xdr:row>
      <xdr:rowOff>0</xdr:rowOff>
    </xdr:to>
    <xdr:graphicFrame macro="">
      <xdr:nvGraphicFramePr>
        <xdr:cNvPr id="31" name="Chart 30">
          <a:extLst>
            <a:ext uri="{FF2B5EF4-FFF2-40B4-BE49-F238E27FC236}">
              <a16:creationId xmlns:a16="http://schemas.microsoft.com/office/drawing/2014/main" id="{ED6F3ECD-06C0-6070-AE28-CB71695DF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65</xdr:row>
      <xdr:rowOff>0</xdr:rowOff>
    </xdr:from>
    <xdr:to>
      <xdr:col>3</xdr:col>
      <xdr:colOff>0</xdr:colOff>
      <xdr:row>74</xdr:row>
      <xdr:rowOff>0</xdr:rowOff>
    </xdr:to>
    <xdr:graphicFrame macro="">
      <xdr:nvGraphicFramePr>
        <xdr:cNvPr id="32" name="Chart 31">
          <a:extLst>
            <a:ext uri="{FF2B5EF4-FFF2-40B4-BE49-F238E27FC236}">
              <a16:creationId xmlns:a16="http://schemas.microsoft.com/office/drawing/2014/main" id="{1E2EF09E-C03F-51E2-4371-352B9D0BD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32</xdr:row>
      <xdr:rowOff>0</xdr:rowOff>
    </xdr:from>
    <xdr:to>
      <xdr:col>7</xdr:col>
      <xdr:colOff>0</xdr:colOff>
      <xdr:row>56</xdr:row>
      <xdr:rowOff>0</xdr:rowOff>
    </xdr:to>
    <xdr:graphicFrame macro="">
      <xdr:nvGraphicFramePr>
        <xdr:cNvPr id="2" name="Chart 1">
          <a:extLst>
            <a:ext uri="{FF2B5EF4-FFF2-40B4-BE49-F238E27FC236}">
              <a16:creationId xmlns:a16="http://schemas.microsoft.com/office/drawing/2014/main" id="{964FF985-5750-053D-393A-58923AC06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hhaya pathania" id="{596DC780-0AF9-4133-9719-29BE541BEEFD}" userId="3f114be54da70b5f"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6" dT="2026-07-23T22:59:55.41" personId="{596DC780-0AF9-4133-9719-29BE541BEEFD}" id="{374C8812-FA52-435A-88E0-DB8F54632580}">
    <text>Threshold: Actual &gt;=60% of FY27E target = Green, &gt;=50% = Yellow, below = Red. Illustrative bands for a partial-year progress check (FY26A is naturally below a forward-looking target).</text>
  </threadedComment>
  <threadedComment ref="G8" dT="2026-07-23T22:59:55.48" personId="{596DC780-0AF9-4133-9719-29BE541BEEFD}" id="{E7EBF7D9-6057-456D-AA0C-3CE7BAB2BCDC}">
    <text>Threshold: GNPA &lt;1.3% Green, 1.3-2.0% Yellow, &gt;2.0% Red — consistent with the Enterprise Risk Cockpit's credit-risk bands.</text>
  </threadedComment>
  <threadedComment ref="G9" dT="2026-07-23T22:59:55.50" personId="{596DC780-0AF9-4133-9719-29BE541BEEFD}" id="{2783BA62-7B6C-4E2C-9EDE-46CE6339910C}">
    <text>Threshold: Cost-to-Income &lt;45% Green, 45-55% Yellow, &gt;55% Red.</text>
  </threadedComment>
  <threadedComment ref="G10" dT="2026-07-23T22:59:55.51" personId="{596DC780-0AF9-4133-9719-29BE541BEEFD}" id="{575579B9-1D49-4600-AC4D-30079C6695FE}">
    <text>Threshold: LCR &gt;150% Green, 120-150% Yellow, &lt;120% Red (RBI regulatory minimum is 100%).</text>
  </threadedComment>
  <threadedComment ref="G11" dT="2026-07-23T22:59:55.52" personId="{596DC780-0AF9-4133-9719-29BE541BEEFD}" id="{093E9933-EEE5-4677-A6A5-D627F5D5D103}">
    <text>Threshold: Basic EPS &gt;₹15 Green, ₹5-15 Yellow, &lt;₹5 Red — illustrative bands, not a disclosed company target.</text>
  </threadedComment>
  <threadedComment ref="D32" dT="2026-07-23T22:59:55.53" personId="{596DC780-0AF9-4133-9719-29BE541BEEFD}" id="{26A524E9-7375-4677-9871-AD61E09E5B5E}">
    <text>Threshold: AUM growth &gt;20% Green, 10-20% Yellow, &lt;10% Red.</text>
  </threadedComment>
  <threadedComment ref="D34" dT="2026-07-23T22:59:55.54" personId="{596DC780-0AF9-4133-9719-29BE541BEEFD}" id="{228A9591-B9C9-4B0E-AB35-EEB981A9932D}">
    <text>Threshold: Cost of Borrowing &lt;7% Green, 7-8% Yellow, &gt;8% Red.</text>
  </threadedComment>
  <threadedComment ref="D36" dT="2026-07-23T22:59:55.55" personId="{596DC780-0AF9-4133-9719-29BE541BEEFD}" id="{0FD1DC66-87D5-4D3F-AF37-78E89F516363}">
    <text>Threshold: Cost-to-Income &lt;45% Green, 45-55% Yellow, &gt;55% Red.</text>
  </threadedComment>
</ThreadedComments>
</file>

<file path=xl/threadedComments/threadedComment2.xml><?xml version="1.0" encoding="utf-8"?>
<ThreadedComments xmlns="http://schemas.microsoft.com/office/spreadsheetml/2018/threadedcomments" xmlns:x="http://schemas.openxmlformats.org/spreadsheetml/2006/main">
  <threadedComment ref="I66" dT="2026-07-23T20:21:56.92" personId="{596DC780-0AF9-4133-9719-29BE541BEEFD}" id="{191E0CEA-A91C-4ABE-9479-3C7ED06B161F}">
    <text>BVPS is flat across FY2027E-FY2031E by construction: the Balance Sheet forecast holds Equity Share Capital at a fixed proportion of Total Equity (row 52 formula), so shares outstanding scale exactly with total equity, mechanically fixing BVPS. This is a pre-existing Balance Sheet modeling simplification, not a new assumption introduced here.</text>
  </threadedComment>
</ThreadedComments>
</file>

<file path=xl/threadedComments/threadedComment3.xml><?xml version="1.0" encoding="utf-8"?>
<ThreadedComments xmlns="http://schemas.microsoft.com/office/spreadsheetml/2018/threadedcomments" xmlns:x="http://schemas.openxmlformats.org/spreadsheetml/2006/main">
  <threadedComment ref="C17" dT="2026-07-24T17:37:26.44" personId="{596DC780-0AF9-4133-9719-29BE541BEEFD}" id="{14B0F002-85E0-4122-9639-AD0A07CFF9A4}">
    <text>Sums to ₹60,347 Cr vs the ₹60,348 Cr disclosed total — the ₹1 Cr difference is the Shopkeeper Loan product (launched April 2025, immaterial), excluded here for readability.</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F15E312-EEA0-4F16-97C7-964659868871}">
  <we:reference id="wa200009404" version="1.0.0.8" store="en-US" storeType="OMEX"/>
  <we:alternateReferences>
    <we:reference id="wa200009404" version="1.0.0.8" store="en-US" storeType="OMEX"/>
  </we:alternateReferences>
  <we:properties>
    <we:property name="claude.fileId" value="&quot;23e13d28-e68f-4c1b-95eb-a4bc696b7e6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3.bin"/><Relationship Id="rId4" Type="http://schemas.microsoft.com/office/2017/10/relationships/threadedComment" Target="../threadedComments/threadedComment3.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xml"/><Relationship Id="rId1" Type="http://schemas.openxmlformats.org/officeDocument/2006/relationships/printerSettings" Target="../printerSettings/printerSettings28.bin"/><Relationship Id="rId4" Type="http://schemas.openxmlformats.org/officeDocument/2006/relationships/comments" Target="../comments13.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25F8-447E-4847-A5E9-DA75D28048C3}">
  <sheetPr>
    <tabColor rgb="FF1F3864"/>
  </sheetPr>
  <dimension ref="B1:D54"/>
  <sheetViews>
    <sheetView showGridLines="0" tabSelected="1" zoomScaleNormal="100" workbookViewId="0">
      <selection activeCell="C17" sqref="C17"/>
    </sheetView>
  </sheetViews>
  <sheetFormatPr defaultRowHeight="14.4" x14ac:dyDescent="0.3"/>
  <cols>
    <col min="1" max="1" width="2" customWidth="1"/>
    <col min="2" max="2" width="35.21875" customWidth="1"/>
    <col min="3" max="3" width="48.109375" customWidth="1"/>
    <col min="4" max="4" width="100.109375" customWidth="1"/>
  </cols>
  <sheetData>
    <row r="1" spans="2:4" ht="25.95" customHeight="1" x14ac:dyDescent="0.4">
      <c r="B1" s="517" t="s">
        <v>867</v>
      </c>
      <c r="C1" s="518"/>
      <c r="D1" s="519"/>
    </row>
    <row r="2" spans="2:4" ht="18" customHeight="1" x14ac:dyDescent="0.3">
      <c r="B2" s="520" t="s">
        <v>868</v>
      </c>
      <c r="C2" s="521"/>
      <c r="D2" s="522"/>
    </row>
    <row r="3" spans="2:4" x14ac:dyDescent="0.3">
      <c r="B3" s="343"/>
      <c r="D3" s="356"/>
    </row>
    <row r="4" spans="2:4" x14ac:dyDescent="0.3">
      <c r="B4" s="447" t="s">
        <v>1459</v>
      </c>
      <c r="C4" s="448" t="s">
        <v>1460</v>
      </c>
      <c r="D4" s="449" t="s">
        <v>1461</v>
      </c>
    </row>
    <row r="5" spans="2:4" x14ac:dyDescent="0.3">
      <c r="B5" s="523" t="s">
        <v>1056</v>
      </c>
      <c r="C5" s="524"/>
      <c r="D5" s="525"/>
    </row>
    <row r="6" spans="2:4" x14ac:dyDescent="0.3">
      <c r="B6" s="450" t="s">
        <v>1429</v>
      </c>
      <c r="C6" s="451" t="s">
        <v>1057</v>
      </c>
      <c r="D6" s="356" t="s">
        <v>1058</v>
      </c>
    </row>
    <row r="7" spans="2:4" x14ac:dyDescent="0.3">
      <c r="B7" s="450" t="s">
        <v>1430</v>
      </c>
      <c r="C7" s="451" t="s">
        <v>321</v>
      </c>
      <c r="D7" s="356" t="s">
        <v>870</v>
      </c>
    </row>
    <row r="8" spans="2:4" x14ac:dyDescent="0.3">
      <c r="B8" s="450" t="s">
        <v>1431</v>
      </c>
      <c r="C8" s="451" t="s">
        <v>903</v>
      </c>
      <c r="D8" s="356" t="s">
        <v>1059</v>
      </c>
    </row>
    <row r="9" spans="2:4" x14ac:dyDescent="0.3">
      <c r="B9" s="450" t="s">
        <v>1432</v>
      </c>
      <c r="C9" s="451" t="s">
        <v>907</v>
      </c>
      <c r="D9" s="356" t="s">
        <v>1060</v>
      </c>
    </row>
    <row r="10" spans="2:4" x14ac:dyDescent="0.3">
      <c r="B10" s="450" t="s">
        <v>1433</v>
      </c>
      <c r="C10" s="451" t="s">
        <v>883</v>
      </c>
      <c r="D10" s="356" t="s">
        <v>1061</v>
      </c>
    </row>
    <row r="11" spans="2:4" x14ac:dyDescent="0.3">
      <c r="B11" s="523" t="s">
        <v>1062</v>
      </c>
      <c r="C11" s="524"/>
      <c r="D11" s="525"/>
    </row>
    <row r="12" spans="2:4" x14ac:dyDescent="0.3">
      <c r="B12" s="450" t="s">
        <v>1434</v>
      </c>
      <c r="C12" s="452" t="s">
        <v>1139</v>
      </c>
      <c r="D12" s="356" t="s">
        <v>1063</v>
      </c>
    </row>
    <row r="13" spans="2:4" x14ac:dyDescent="0.3">
      <c r="B13" s="450" t="s">
        <v>1435</v>
      </c>
      <c r="C13" s="452" t="s">
        <v>1140</v>
      </c>
      <c r="D13" s="356" t="s">
        <v>1064</v>
      </c>
    </row>
    <row r="14" spans="2:4" x14ac:dyDescent="0.3">
      <c r="B14" s="450" t="s">
        <v>1436</v>
      </c>
      <c r="C14" s="451" t="s">
        <v>871</v>
      </c>
      <c r="D14" s="356" t="s">
        <v>872</v>
      </c>
    </row>
    <row r="15" spans="2:4" x14ac:dyDescent="0.3">
      <c r="B15" s="450" t="s">
        <v>1437</v>
      </c>
      <c r="C15" s="451" t="s">
        <v>873</v>
      </c>
      <c r="D15" s="356" t="s">
        <v>1065</v>
      </c>
    </row>
    <row r="16" spans="2:4" x14ac:dyDescent="0.3">
      <c r="B16" s="453" t="s">
        <v>1401</v>
      </c>
      <c r="C16" s="1"/>
      <c r="D16" s="350"/>
    </row>
    <row r="17" spans="2:4" x14ac:dyDescent="0.3">
      <c r="B17" s="450" t="s">
        <v>1438</v>
      </c>
      <c r="C17" s="452" t="s">
        <v>890</v>
      </c>
      <c r="D17" s="454" t="s">
        <v>1402</v>
      </c>
    </row>
    <row r="18" spans="2:4" x14ac:dyDescent="0.3">
      <c r="B18" s="450" t="s">
        <v>1439</v>
      </c>
      <c r="C18" s="452" t="s">
        <v>874</v>
      </c>
      <c r="D18" s="454" t="s">
        <v>1403</v>
      </c>
    </row>
    <row r="19" spans="2:4" x14ac:dyDescent="0.3">
      <c r="B19" s="450" t="s">
        <v>1440</v>
      </c>
      <c r="C19" s="452" t="s">
        <v>875</v>
      </c>
      <c r="D19" s="454" t="s">
        <v>1404</v>
      </c>
    </row>
    <row r="20" spans="2:4" x14ac:dyDescent="0.3">
      <c r="B20" s="450" t="s">
        <v>1441</v>
      </c>
      <c r="C20" s="452" t="s">
        <v>310</v>
      </c>
      <c r="D20" s="454" t="s">
        <v>1405</v>
      </c>
    </row>
    <row r="21" spans="2:4" x14ac:dyDescent="0.3">
      <c r="B21" s="450" t="s">
        <v>1442</v>
      </c>
      <c r="C21" s="452" t="s">
        <v>876</v>
      </c>
      <c r="D21" s="454" t="s">
        <v>1406</v>
      </c>
    </row>
    <row r="22" spans="2:4" x14ac:dyDescent="0.3">
      <c r="B22" s="450" t="s">
        <v>1443</v>
      </c>
      <c r="C22" s="452" t="s">
        <v>877</v>
      </c>
      <c r="D22" s="454" t="s">
        <v>1407</v>
      </c>
    </row>
    <row r="23" spans="2:4" x14ac:dyDescent="0.3">
      <c r="B23" s="450" t="s">
        <v>1444</v>
      </c>
      <c r="C23" s="452" t="s">
        <v>1218</v>
      </c>
      <c r="D23" s="454" t="s">
        <v>1408</v>
      </c>
    </row>
    <row r="24" spans="2:4" x14ac:dyDescent="0.3">
      <c r="B24" s="450" t="s">
        <v>1445</v>
      </c>
      <c r="C24" s="452" t="s">
        <v>878</v>
      </c>
      <c r="D24" s="454" t="s">
        <v>1409</v>
      </c>
    </row>
    <row r="25" spans="2:4" x14ac:dyDescent="0.3">
      <c r="B25" s="453" t="s">
        <v>1410</v>
      </c>
      <c r="C25" s="1"/>
      <c r="D25" s="350"/>
    </row>
    <row r="26" spans="2:4" x14ac:dyDescent="0.3">
      <c r="B26" s="450" t="s">
        <v>1446</v>
      </c>
      <c r="C26" s="452" t="s">
        <v>920</v>
      </c>
      <c r="D26" s="454" t="s">
        <v>1411</v>
      </c>
    </row>
    <row r="27" spans="2:4" x14ac:dyDescent="0.3">
      <c r="B27" s="450" t="s">
        <v>1447</v>
      </c>
      <c r="C27" s="452" t="s">
        <v>881</v>
      </c>
      <c r="D27" s="454" t="s">
        <v>1412</v>
      </c>
    </row>
    <row r="28" spans="2:4" x14ac:dyDescent="0.3">
      <c r="B28" s="450" t="s">
        <v>1448</v>
      </c>
      <c r="C28" s="452" t="s">
        <v>882</v>
      </c>
      <c r="D28" s="454" t="s">
        <v>1066</v>
      </c>
    </row>
    <row r="29" spans="2:4" x14ac:dyDescent="0.3">
      <c r="B29" s="450" t="s">
        <v>1449</v>
      </c>
      <c r="C29" s="452" t="s">
        <v>924</v>
      </c>
      <c r="D29" s="454" t="s">
        <v>1067</v>
      </c>
    </row>
    <row r="30" spans="2:4" x14ac:dyDescent="0.3">
      <c r="B30" s="450" t="s">
        <v>1450</v>
      </c>
      <c r="C30" s="452" t="s">
        <v>911</v>
      </c>
      <c r="D30" s="454" t="s">
        <v>1413</v>
      </c>
    </row>
    <row r="31" spans="2:4" x14ac:dyDescent="0.3">
      <c r="B31" s="450" t="s">
        <v>1451</v>
      </c>
      <c r="C31" s="452" t="s">
        <v>880</v>
      </c>
      <c r="D31" s="454" t="s">
        <v>1414</v>
      </c>
    </row>
    <row r="32" spans="2:4" x14ac:dyDescent="0.3">
      <c r="B32" s="450" t="s">
        <v>1452</v>
      </c>
      <c r="C32" s="452" t="s">
        <v>879</v>
      </c>
      <c r="D32" s="454" t="s">
        <v>1415</v>
      </c>
    </row>
    <row r="33" spans="2:4" x14ac:dyDescent="0.3">
      <c r="B33" s="453" t="s">
        <v>1416</v>
      </c>
      <c r="C33" s="1"/>
      <c r="D33" s="350"/>
    </row>
    <row r="34" spans="2:4" x14ac:dyDescent="0.3">
      <c r="B34" s="450" t="s">
        <v>1453</v>
      </c>
      <c r="C34" s="452" t="s">
        <v>884</v>
      </c>
      <c r="D34" s="454" t="s">
        <v>1417</v>
      </c>
    </row>
    <row r="35" spans="2:4" x14ac:dyDescent="0.3">
      <c r="B35" s="450" t="s">
        <v>1454</v>
      </c>
      <c r="C35" s="452" t="s">
        <v>885</v>
      </c>
      <c r="D35" s="454" t="s">
        <v>1418</v>
      </c>
    </row>
    <row r="36" spans="2:4" x14ac:dyDescent="0.3">
      <c r="B36" s="453" t="s">
        <v>1068</v>
      </c>
      <c r="C36" s="1"/>
      <c r="D36" s="350"/>
    </row>
    <row r="37" spans="2:4" x14ac:dyDescent="0.3">
      <c r="B37" s="450" t="s">
        <v>1455</v>
      </c>
      <c r="C37" s="452" t="s">
        <v>886</v>
      </c>
      <c r="D37" s="454" t="s">
        <v>1419</v>
      </c>
    </row>
    <row r="38" spans="2:4" x14ac:dyDescent="0.3">
      <c r="B38" s="450" t="s">
        <v>1456</v>
      </c>
      <c r="C38" s="452" t="s">
        <v>887</v>
      </c>
      <c r="D38" s="454" t="s">
        <v>1420</v>
      </c>
    </row>
    <row r="39" spans="2:4" x14ac:dyDescent="0.3">
      <c r="B39" s="450" t="s">
        <v>1457</v>
      </c>
      <c r="C39" s="452" t="s">
        <v>888</v>
      </c>
      <c r="D39" s="454" t="s">
        <v>1421</v>
      </c>
    </row>
    <row r="40" spans="2:4" x14ac:dyDescent="0.3">
      <c r="B40" s="450" t="s">
        <v>1458</v>
      </c>
      <c r="C40" s="452" t="s">
        <v>889</v>
      </c>
      <c r="D40" s="454" t="s">
        <v>1422</v>
      </c>
    </row>
    <row r="41" spans="2:4" x14ac:dyDescent="0.3">
      <c r="B41" s="343"/>
      <c r="D41" s="356"/>
    </row>
    <row r="42" spans="2:4" x14ac:dyDescent="0.3">
      <c r="B42" s="343"/>
      <c r="D42" s="356"/>
    </row>
    <row r="43" spans="2:4" x14ac:dyDescent="0.3">
      <c r="B43" s="455" t="s">
        <v>1307</v>
      </c>
      <c r="C43" s="456"/>
      <c r="D43" s="457"/>
    </row>
    <row r="44" spans="2:4" x14ac:dyDescent="0.3">
      <c r="B44" s="367" t="s">
        <v>1428</v>
      </c>
      <c r="D44" s="356"/>
    </row>
    <row r="45" spans="2:4" x14ac:dyDescent="0.3">
      <c r="B45" s="458">
        <v>1</v>
      </c>
      <c r="C45" s="452" t="s">
        <v>871</v>
      </c>
      <c r="D45" s="459" t="s">
        <v>1308</v>
      </c>
    </row>
    <row r="46" spans="2:4" x14ac:dyDescent="0.3">
      <c r="B46" s="458">
        <v>2</v>
      </c>
      <c r="C46" s="452" t="s">
        <v>920</v>
      </c>
      <c r="D46" s="459" t="s">
        <v>1309</v>
      </c>
    </row>
    <row r="47" spans="2:4" x14ac:dyDescent="0.3">
      <c r="B47" s="458">
        <v>3</v>
      </c>
      <c r="C47" s="452" t="s">
        <v>881</v>
      </c>
      <c r="D47" s="459" t="s">
        <v>1310</v>
      </c>
    </row>
    <row r="48" spans="2:4" x14ac:dyDescent="0.3">
      <c r="B48" s="458">
        <v>4</v>
      </c>
      <c r="C48" s="452" t="s">
        <v>876</v>
      </c>
      <c r="D48" s="459" t="s">
        <v>1311</v>
      </c>
    </row>
    <row r="49" spans="2:4" x14ac:dyDescent="0.3">
      <c r="B49" s="458">
        <v>5</v>
      </c>
      <c r="C49" s="452" t="s">
        <v>875</v>
      </c>
      <c r="D49" s="459" t="s">
        <v>1312</v>
      </c>
    </row>
    <row r="50" spans="2:4" x14ac:dyDescent="0.3">
      <c r="B50" s="458">
        <v>6</v>
      </c>
      <c r="C50" s="452" t="s">
        <v>886</v>
      </c>
      <c r="D50" s="459" t="s">
        <v>1313</v>
      </c>
    </row>
    <row r="51" spans="2:4" ht="27.6" x14ac:dyDescent="0.3">
      <c r="B51" s="458">
        <v>7</v>
      </c>
      <c r="C51" s="452" t="s">
        <v>1218</v>
      </c>
      <c r="D51" s="460" t="s">
        <v>1314</v>
      </c>
    </row>
    <row r="52" spans="2:4" x14ac:dyDescent="0.3">
      <c r="B52" s="458">
        <v>8</v>
      </c>
      <c r="C52" s="452" t="s">
        <v>879</v>
      </c>
      <c r="D52" s="459" t="s">
        <v>1315</v>
      </c>
    </row>
    <row r="53" spans="2:4" x14ac:dyDescent="0.3">
      <c r="B53" s="458">
        <v>9</v>
      </c>
      <c r="C53" s="452" t="s">
        <v>884</v>
      </c>
      <c r="D53" s="459" t="s">
        <v>1316</v>
      </c>
    </row>
    <row r="54" spans="2:4" x14ac:dyDescent="0.3">
      <c r="B54" s="461" t="s">
        <v>1317</v>
      </c>
      <c r="C54" s="398"/>
      <c r="D54" s="462"/>
    </row>
  </sheetData>
  <mergeCells count="4">
    <mergeCell ref="B1:D1"/>
    <mergeCell ref="B2:D2"/>
    <mergeCell ref="B5:D5"/>
    <mergeCell ref="B11:D11"/>
  </mergeCells>
  <hyperlinks>
    <hyperlink ref="C6" location="'Business Operating Model'!A1" tooltip="Go to Business Operating Model" display="Business Operating Model" xr:uid="{AB9A0B11-4FE4-4B8D-8407-BAE73C3B52AD}"/>
    <hyperlink ref="C7" location="'FP&amp;A Value Creation Framework'!A1" tooltip="Go to FP&amp;A Value Creation Framework" display="FP&amp;A Value Creation Framework" xr:uid="{C898BA80-7AB9-48A6-8B7F-365ADBE7B584}"/>
    <hyperlink ref="C8" location="'Distribution Analytics'!A1" tooltip="Go to Distribution Analytics" display="Distribution Analytics" xr:uid="{3B0EAC0B-4844-448B-9884-7D1E495E4676}"/>
    <hyperlink ref="C9" location="'Customer Economics'!A1" tooltip="Go to Customer Economics" display="Customer Economics" xr:uid="{445FA76C-4E3F-4286-9A16-4388BF21F091}"/>
    <hyperlink ref="C10" location="'Customer Analytics'!A1" tooltip="Go to Customer Analytics" display="Customer Analytics" xr:uid="{45F1CC2C-8044-4BF0-87EB-1ED33ED259F0}"/>
    <hyperlink ref="C12" location="'Executive Board Cockpit'!A1" tooltip="Go to Executive Board Cockpit" display="Executive Board Cockpit" xr:uid="{77F444DD-FB0E-4D66-BA2E-C535AFED43FF}"/>
    <hyperlink ref="C13" location="'Business Performance Scorecard'!A1" tooltip="Go to Business Performance Scorecard" display="Business Performance Scorecard" xr:uid="{49F20A81-9805-49A9-9C69-805CFF709201}"/>
    <hyperlink ref="C14" location="'Business Drivers'!A1" tooltip="Go to Business Drivers" display="Business Drivers" xr:uid="{6522FD29-5B57-4C39-9E4A-CCA115718F70}"/>
    <hyperlink ref="C15" location="'KPIs &amp; Ratios'!A1" tooltip="Go to KPIs &amp; Ratios" display="KPIs &amp; Ratios" xr:uid="{AC22AA50-D3F1-4742-8DD4-19EC78BD4126}"/>
    <hyperlink ref="B5" location="'A - Business Model'!A1" tooltip="Go to A - Business Model section page" display="A — BUSINESS MODEL" xr:uid="{ACEAA94C-2C87-4E6D-8181-EFA065EA6A0C}"/>
    <hyperlink ref="B11" location="'B - Strategic Finance'!A1" tooltip="Go to B - Strategic Finance section page" display="B — STRATEGIC FINANCE" xr:uid="{42425F12-9B3E-4BD5-A875-11D9066DE51A}"/>
    <hyperlink ref="C45" location="'Business Drivers'!A1" tooltip="Go to Business Drivers" display="Business Drivers" xr:uid="{3B35E025-E1FE-4D14-B824-BB35D291818C}"/>
    <hyperlink ref="C46" location="'Portfolio Mix'!A1" tooltip="Go to Portfolio Mix" display="Portfolio Mix" xr:uid="{DEF9A5DB-C2BF-44EA-854D-D23B64A1CCF1}"/>
    <hyperlink ref="C47" location="'Product Profitability'!A1" tooltip="Go to Product Profitability" display="Product Profitability" xr:uid="{67EA242C-3A61-4AFA-BEBD-C973088565B5}"/>
    <hyperlink ref="C48" location="'Credit Cost Forecast'!A1" tooltip="Go to Credit Cost Forecast" display="Credit Cost Forecast" xr:uid="{6A005750-3754-4E29-98AD-E0C7B156EE54}"/>
    <hyperlink ref="C49" location="'Funding Forecast'!A1" tooltip="Go to Funding Forecast" display="Funding Forecast" xr:uid="{462FBB82-2E36-48B8-92AA-68CABA1A8C52}"/>
    <hyperlink ref="C50" location="'Profit &amp; Loss'!A1" tooltip="Go to Profit &amp; Loss" display="Profit &amp; Loss" xr:uid="{B1174A77-CA99-42EF-82B0-F225B19B6393}"/>
    <hyperlink ref="C51" location="'Regulatory Capital'!A1" tooltip="Go to Regulatory Capital" display="Regulatory Capital" xr:uid="{D49DF693-1A5C-4725-878C-645BB319DE0A}"/>
    <hyperlink ref="C52" location="'Scenario Analysis'!A1" tooltip="Go to Scenario Analysis" display="Scenario Analysis" xr:uid="{7CBDC6FF-6ECB-4A20-B4D7-8904B473CDF2}"/>
    <hyperlink ref="C53" location="'Management Recommendations'!A1" tooltip="Go to Management Recommendations" display="Management Recommendations" xr:uid="{372D2A71-C361-448F-B25F-2BD40364C774}"/>
    <hyperlink ref="B16" location="'C - Planning &amp; Forecasting'!A1" tooltip="Go to C - Planning &amp; Forecasting section page" display="C — PLANNING &amp; FORECASTING" xr:uid="{D2830DA7-7BC2-455E-BF50-34630B425830}"/>
    <hyperlink ref="C17" location="'Assumptions'!A1" tooltip="Go to Assumptions" display="Assumptions" xr:uid="{C9F7B218-7CB1-4697-A134-90C876AD8C2B}"/>
    <hyperlink ref="C18" location="'Revenue Forecast'!A1" tooltip="Go to Revenue Forecast" display="Revenue Forecast" xr:uid="{6FBEE30F-01AB-449C-B257-6C31F52B87D0}"/>
    <hyperlink ref="C19" location="'Funding Forecast'!A1" tooltip="Go to Funding Forecast" display="Funding Forecast" xr:uid="{33EC2630-4567-456C-8806-2047996453CD}"/>
    <hyperlink ref="C20" location="'Treasury'!A1" tooltip="Go to Treasury" display="Treasury" xr:uid="{CF695934-9E0B-4DBA-915A-86BB0A9248EF}"/>
    <hyperlink ref="C21" location="'Credit Cost Forecast'!A1" tooltip="Go to Credit Cost Forecast" display="Credit Cost Forecast" xr:uid="{02432706-81C4-4534-A1BD-958D9E0435D2}"/>
    <hyperlink ref="C22" location="'Operating Cost Forecast'!A1" tooltip="Go to Operating Cost Forecast" display="Operating Cost Forecast" xr:uid="{ECB4F1ED-DCE1-46DD-A679-4B739676BF6F}"/>
    <hyperlink ref="C23" location="'Regulatory Capital'!A1" tooltip="Go to Regulatory Capital" display="Regulatory Capital" xr:uid="{E70FED6B-F746-4F87-8557-4053ABAF1117}"/>
    <hyperlink ref="C24" location="'CapEx &amp; Depreciation Schedule'!A1" tooltip="Go to CapEx &amp; Depreciation Schedule" display="CapEx &amp; Depreciation Schedule" xr:uid="{E8116615-C206-4921-8FF2-89F7D663DA58}"/>
    <hyperlink ref="B25" location="'D - Performance &amp; Risk'!A1" tooltip="Go to D - Performance &amp; Risk section page" display="D — PERFORMANCE &amp; RISK MANAGEMENT" xr:uid="{B497FB69-C767-4ECA-98E8-F5B4C6D5BC3F}"/>
    <hyperlink ref="C26" location="'Portfolio Mix'!A1" tooltip="Go to Portfolio Mix" display="Portfolio Mix" xr:uid="{6AAA091E-713F-4C4E-AC5C-CBD15E9166ED}"/>
    <hyperlink ref="C27" location="'Product Profitability'!A1" tooltip="Go to Product Profitability" display="Product Profitability" xr:uid="{F270D830-2EBC-46C4-BA83-9C9FEEAE643F}"/>
    <hyperlink ref="C28" location="'Branch Profitability'!A1" tooltip="Go to Branch Profitability" display="Branch Profitability" xr:uid="{34D87197-69FF-4633-81D9-D53E3B4B9D89}"/>
    <hyperlink ref="C29" location="'Collections Analytics'!A1" tooltip="Go to Collections Analytics" display="Collections Analytics" xr:uid="{CBC9F7BD-33B8-4FF4-AF8C-A70C89D2A5C6}"/>
    <hyperlink ref="C30" location="'Digital Transformation'!A1" tooltip="Go to Digital Transformation" display="Digital Transformation" xr:uid="{D66EC7B5-61D8-4962-8CC9-87543451789C}"/>
    <hyperlink ref="C31" location="'Enterprise Risk Cockpit'!A1" tooltip="Go to Enterprise Risk Cockpit" display="Enterprise Risk Cockpit" xr:uid="{5F03DE65-CCF4-45BC-8154-C420FE65E354}"/>
    <hyperlink ref="C32" location="'Scenario Analysis'!A1" tooltip="Go to Scenario Analysis" display="Scenario Analysis" xr:uid="{8C51C363-0204-455A-A453-0F950CFCB191}"/>
    <hyperlink ref="B33" location="'E - Executive Decision Support'!A1" tooltip="Go to E - Executive Decision Support section page" display="E — EXECUTIVE DECISION SUPPORT" xr:uid="{559CF935-C3B8-4F47-A94A-38E2EEA8766F}"/>
    <hyperlink ref="C34" location="'Management Recommendations'!A1" tooltip="Go to Management Recommendations" display="Management Recommendations" xr:uid="{F2D9B06B-3594-4CCF-A955-82BBCFDE6D2B}"/>
    <hyperlink ref="C35" location="'Value Creation Tracker'!A1" tooltip="Go to Value Creation Tracker" display="Value Creation Tracker" xr:uid="{F56173D4-048F-42AA-839D-3F97F5533AD0}"/>
    <hyperlink ref="B36" location="'F - Financial Statements'!A1" tooltip="Go to F - Financial Statements section page" display="F — FINANCIAL STATEMENTS" xr:uid="{DBA2B693-DEFA-456D-A9BF-436084C3CB7A}"/>
    <hyperlink ref="C37" location="'Profit &amp; Loss'!A1" tooltip="Go to Profit &amp; Loss" display="Profit &amp; Loss" xr:uid="{9A0B5543-2C40-425A-B0F0-996727880009}"/>
    <hyperlink ref="C38" location="'Balance Sheet'!A1" tooltip="Go to Balance Sheet" display="Balance Sheet" xr:uid="{D28565D6-814B-4543-B0E3-ED9D7F6E977D}"/>
    <hyperlink ref="C39" location="'Cash Flow Statement'!A1" tooltip="Go to Cash Flow Statement" display="Cash Flow Statement" xr:uid="{EF9F27D9-3B2A-4728-8943-A1BB48588CAB}"/>
    <hyperlink ref="C40" location="'Statement of Changes in Equity'!A1" tooltip="Go to Statement of Changes in Equity" display="Statement of Changes in Equity" xr:uid="{797CCB5A-6120-4172-B912-24B549EE5C28}"/>
  </hyperlinks>
  <pageMargins left="0.7" right="0.7" top="0.75" bottom="0.75" header="0.3" footer="0.3"/>
  <pageSetup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C398-2346-499F-A293-65F06B1CF045}">
  <sheetPr>
    <tabColor rgb="FF2E5FA3"/>
  </sheetPr>
  <dimension ref="B2:F18"/>
  <sheetViews>
    <sheetView showGridLines="0" workbookViewId="0">
      <selection activeCell="D1" sqref="D1:G1048576"/>
    </sheetView>
  </sheetViews>
  <sheetFormatPr defaultRowHeight="14.4" x14ac:dyDescent="0.3"/>
  <cols>
    <col min="1" max="1" width="1.77734375" customWidth="1"/>
    <col min="2" max="2" width="11.109375" customWidth="1"/>
    <col min="3" max="3" width="55.5546875" customWidth="1"/>
    <col min="4" max="4" width="59.21875" customWidth="1"/>
    <col min="5" max="6" width="8.88671875" customWidth="1"/>
  </cols>
  <sheetData>
    <row r="2" spans="2:6" ht="40.049999999999997" customHeight="1" x14ac:dyDescent="0.3">
      <c r="B2" s="528" t="s">
        <v>1069</v>
      </c>
      <c r="C2" s="529" t="s">
        <v>1070</v>
      </c>
      <c r="D2" s="529"/>
      <c r="F2" s="269" t="s">
        <v>891</v>
      </c>
    </row>
    <row r="3" spans="2:6" ht="7.95" customHeight="1" x14ac:dyDescent="0.3">
      <c r="B3" s="528"/>
    </row>
    <row r="4" spans="2:6" ht="61.95" customHeight="1" x14ac:dyDescent="0.3">
      <c r="B4" s="528"/>
      <c r="C4" s="530" t="s">
        <v>1071</v>
      </c>
      <c r="D4" s="530"/>
    </row>
    <row r="6" spans="2:6" x14ac:dyDescent="0.3">
      <c r="B6" s="527" t="s">
        <v>1072</v>
      </c>
      <c r="C6" s="527"/>
      <c r="D6" s="527"/>
    </row>
    <row r="7" spans="2:6" x14ac:dyDescent="0.3">
      <c r="C7" s="526" t="s">
        <v>1073</v>
      </c>
      <c r="D7" s="526"/>
    </row>
    <row r="8" spans="2:6" x14ac:dyDescent="0.3">
      <c r="C8" s="526" t="s">
        <v>1074</v>
      </c>
      <c r="D8" s="526"/>
    </row>
    <row r="9" spans="2:6" x14ac:dyDescent="0.3">
      <c r="C9" s="526" t="s">
        <v>1075</v>
      </c>
      <c r="D9" s="526"/>
    </row>
    <row r="10" spans="2:6" x14ac:dyDescent="0.3">
      <c r="C10" s="526" t="s">
        <v>1076</v>
      </c>
      <c r="D10" s="526"/>
    </row>
    <row r="12" spans="2:6" x14ac:dyDescent="0.3">
      <c r="B12" s="527" t="s">
        <v>1077</v>
      </c>
      <c r="C12" s="527"/>
      <c r="D12" s="527"/>
    </row>
    <row r="13" spans="2:6" x14ac:dyDescent="0.3">
      <c r="B13" s="340" t="s">
        <v>1462</v>
      </c>
      <c r="C13" s="285" t="s">
        <v>869</v>
      </c>
      <c r="D13" s="285" t="s">
        <v>1078</v>
      </c>
    </row>
    <row r="14" spans="2:6" ht="24" x14ac:dyDescent="0.3">
      <c r="B14" s="435" t="s">
        <v>1429</v>
      </c>
      <c r="C14" s="294" t="s">
        <v>1057</v>
      </c>
      <c r="D14" s="295" t="s">
        <v>1079</v>
      </c>
    </row>
    <row r="15" spans="2:6" x14ac:dyDescent="0.3">
      <c r="B15" s="435" t="s">
        <v>1430</v>
      </c>
      <c r="C15" s="294" t="s">
        <v>321</v>
      </c>
      <c r="D15" s="295" t="s">
        <v>1080</v>
      </c>
    </row>
    <row r="16" spans="2:6" ht="24" x14ac:dyDescent="0.3">
      <c r="B16" s="435" t="s">
        <v>1431</v>
      </c>
      <c r="C16" s="294" t="s">
        <v>903</v>
      </c>
      <c r="D16" s="295" t="s">
        <v>1081</v>
      </c>
    </row>
    <row r="17" spans="2:4" ht="24" x14ac:dyDescent="0.3">
      <c r="B17" s="435" t="s">
        <v>1432</v>
      </c>
      <c r="C17" s="294" t="s">
        <v>907</v>
      </c>
      <c r="D17" s="295" t="s">
        <v>1082</v>
      </c>
    </row>
    <row r="18" spans="2:4" x14ac:dyDescent="0.3">
      <c r="B18" s="435" t="s">
        <v>1433</v>
      </c>
      <c r="C18" s="294" t="s">
        <v>883</v>
      </c>
      <c r="D18" s="295" t="s">
        <v>1083</v>
      </c>
    </row>
  </sheetData>
  <mergeCells count="9">
    <mergeCell ref="C9:D9"/>
    <mergeCell ref="C10:D10"/>
    <mergeCell ref="B12:D12"/>
    <mergeCell ref="B2:B4"/>
    <mergeCell ref="C2:D2"/>
    <mergeCell ref="C4:D4"/>
    <mergeCell ref="B6:D6"/>
    <mergeCell ref="C7:D7"/>
    <mergeCell ref="C8:D8"/>
  </mergeCells>
  <hyperlinks>
    <hyperlink ref="C14" location="'Business Operating Model'!A1" tooltip="Go to Business Operating Model" display="Business Operating Model" xr:uid="{ADEE9050-A1B1-4C95-B73A-D9D8C331B03B}"/>
    <hyperlink ref="C15" location="'FP&amp;A Value Creation Framework'!A1" tooltip="Go to FP&amp;A Value Creation Framework" display="FP&amp;A Value Creation Framework" xr:uid="{B6EFDBEC-F119-41E6-9DD9-EE6E573C978E}"/>
    <hyperlink ref="C16" location="'Distribution Analytics'!A1" tooltip="Go to Distribution Analytics" display="Distribution Analytics" xr:uid="{78506ED4-AC9F-4879-AC92-7AE43CB834AC}"/>
    <hyperlink ref="C17" location="'Customer Economics'!A1" tooltip="Go to Customer Economics" display="Customer Economics" xr:uid="{00370F38-F2E8-4401-BD6C-A143E11CF3EB}"/>
    <hyperlink ref="C18" location="'Customer Analytics'!A1" tooltip="Go to Customer Analytics" display="Customer Analytics" xr:uid="{5BFAFEEE-4EAD-463A-A5B3-06DFB3EC15A4}"/>
    <hyperlink ref="F2" location="Home!A1" tooltip="Back to Home / Index" display="⌂ Home" xr:uid="{4C43F56C-A056-4783-9B40-B90660DD14D3}"/>
  </hyperlinks>
  <pageMargins left="0.25" right="0.2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5CA2D-20A6-4970-B239-C429EC008D84}">
  <sheetPr>
    <tabColor rgb="FF9DC3E6"/>
  </sheetPr>
  <dimension ref="B1:H25"/>
  <sheetViews>
    <sheetView showGridLines="0" view="pageBreakPreview" zoomScale="60" zoomScaleNormal="100" workbookViewId="0">
      <selection activeCell="F3" sqref="F1:J1048576"/>
    </sheetView>
  </sheetViews>
  <sheetFormatPr defaultRowHeight="14.4" x14ac:dyDescent="0.3"/>
  <cols>
    <col min="1" max="1" width="1.77734375" customWidth="1"/>
    <col min="2" max="2" width="27.77734375" customWidth="1"/>
    <col min="3" max="3" width="51.88671875" customWidth="1"/>
    <col min="4" max="4" width="27.77734375" customWidth="1"/>
    <col min="5" max="5" width="20.33203125" customWidth="1"/>
    <col min="6" max="6" width="29.6640625" customWidth="1"/>
    <col min="7" max="8" width="8.88671875" customWidth="1"/>
  </cols>
  <sheetData>
    <row r="1" spans="2:8" ht="25.95" customHeight="1" x14ac:dyDescent="0.4">
      <c r="B1" s="533" t="s">
        <v>892</v>
      </c>
      <c r="C1" s="534"/>
      <c r="D1" s="534"/>
      <c r="E1" s="534"/>
      <c r="F1" s="534"/>
      <c r="H1" s="269" t="s">
        <v>891</v>
      </c>
    </row>
    <row r="2" spans="2:8" ht="30" customHeight="1" x14ac:dyDescent="0.3">
      <c r="B2" s="535" t="s">
        <v>893</v>
      </c>
      <c r="C2" s="521"/>
      <c r="D2" s="521"/>
      <c r="E2" s="521"/>
      <c r="F2" s="521"/>
    </row>
    <row r="4" spans="2:8" x14ac:dyDescent="0.3">
      <c r="B4" s="270" t="s">
        <v>894</v>
      </c>
      <c r="C4" s="270" t="s">
        <v>895</v>
      </c>
      <c r="D4" s="270" t="s">
        <v>896</v>
      </c>
      <c r="E4" s="270" t="s">
        <v>897</v>
      </c>
      <c r="F4" s="270" t="s">
        <v>898</v>
      </c>
    </row>
    <row r="5" spans="2:8" ht="28.8" x14ac:dyDescent="0.3">
      <c r="B5" s="271" t="s">
        <v>899</v>
      </c>
      <c r="C5" s="272" t="s">
        <v>900</v>
      </c>
      <c r="D5" s="271" t="s">
        <v>901</v>
      </c>
      <c r="E5" s="273" t="s">
        <v>902</v>
      </c>
      <c r="F5" s="271" t="s">
        <v>903</v>
      </c>
    </row>
    <row r="6" spans="2:8" x14ac:dyDescent="0.3">
      <c r="B6" s="271" t="s">
        <v>904</v>
      </c>
      <c r="C6" s="272" t="s">
        <v>905</v>
      </c>
      <c r="D6" s="271" t="s">
        <v>906</v>
      </c>
      <c r="E6" s="274">
        <f>'Business Drivers'!C9</f>
        <v>22</v>
      </c>
      <c r="F6" s="271" t="s">
        <v>907</v>
      </c>
    </row>
    <row r="7" spans="2:8" x14ac:dyDescent="0.3">
      <c r="B7" s="271" t="s">
        <v>908</v>
      </c>
      <c r="C7" s="272" t="s">
        <v>909</v>
      </c>
      <c r="D7" s="271" t="s">
        <v>910</v>
      </c>
      <c r="E7" s="275">
        <f>'KPIs &amp; Ratios'!F76</f>
        <v>0.82</v>
      </c>
      <c r="F7" s="271" t="s">
        <v>911</v>
      </c>
    </row>
    <row r="8" spans="2:8" x14ac:dyDescent="0.3">
      <c r="B8" s="271" t="s">
        <v>912</v>
      </c>
      <c r="C8" s="272" t="s">
        <v>913</v>
      </c>
      <c r="D8" s="271" t="s">
        <v>914</v>
      </c>
      <c r="E8" s="276">
        <f>'Business Performance Scorecard'!C192</f>
        <v>1.37E-2</v>
      </c>
      <c r="F8" s="271" t="s">
        <v>876</v>
      </c>
    </row>
    <row r="9" spans="2:8" x14ac:dyDescent="0.3">
      <c r="B9" s="271" t="s">
        <v>915</v>
      </c>
      <c r="C9" s="272" t="s">
        <v>916</v>
      </c>
      <c r="D9" s="271" t="s">
        <v>917</v>
      </c>
      <c r="E9" s="277">
        <f>'Business Drivers'!D14</f>
        <v>50007.999999999993</v>
      </c>
      <c r="F9" s="271" t="s">
        <v>871</v>
      </c>
    </row>
    <row r="10" spans="2:8" x14ac:dyDescent="0.3">
      <c r="B10" s="271" t="s">
        <v>918</v>
      </c>
      <c r="C10" s="272" t="s">
        <v>919</v>
      </c>
      <c r="D10" s="271" t="s">
        <v>267</v>
      </c>
      <c r="E10" s="277">
        <f>'KPIs &amp; Ratios'!H95</f>
        <v>60348</v>
      </c>
      <c r="F10" s="271" t="s">
        <v>920</v>
      </c>
    </row>
    <row r="11" spans="2:8" x14ac:dyDescent="0.3">
      <c r="B11" s="271" t="s">
        <v>921</v>
      </c>
      <c r="C11" s="272" t="s">
        <v>922</v>
      </c>
      <c r="D11" s="271" t="s">
        <v>923</v>
      </c>
      <c r="E11" s="278">
        <f>'KPIs &amp; Ratios'!H43*100</f>
        <v>2.4910867835090977</v>
      </c>
      <c r="F11" s="271" t="s">
        <v>924</v>
      </c>
    </row>
    <row r="12" spans="2:8" x14ac:dyDescent="0.3">
      <c r="B12" s="271" t="s">
        <v>925</v>
      </c>
      <c r="C12" s="272" t="s">
        <v>926</v>
      </c>
      <c r="D12" s="271" t="s">
        <v>927</v>
      </c>
      <c r="E12" s="275">
        <f>'Customer Analytics'!F8</f>
        <v>0.27</v>
      </c>
      <c r="F12" s="271" t="s">
        <v>907</v>
      </c>
    </row>
    <row r="13" spans="2:8" x14ac:dyDescent="0.3">
      <c r="B13" s="271" t="s">
        <v>928</v>
      </c>
      <c r="C13" s="272" t="s">
        <v>929</v>
      </c>
      <c r="D13" s="271" t="s">
        <v>930</v>
      </c>
      <c r="E13" s="278">
        <f>'KPIs &amp; Ratios'!H26*100</f>
        <v>7.4796242439562111</v>
      </c>
      <c r="F13" s="271" t="s">
        <v>931</v>
      </c>
    </row>
    <row r="14" spans="2:8" x14ac:dyDescent="0.3">
      <c r="B14" s="271" t="s">
        <v>932</v>
      </c>
      <c r="C14" s="272" t="s">
        <v>933</v>
      </c>
      <c r="D14" s="271" t="s">
        <v>785</v>
      </c>
      <c r="E14" s="277">
        <f>'KPIs &amp; Ratios'!H35</f>
        <v>541.80999999999972</v>
      </c>
      <c r="F14" s="271" t="s">
        <v>886</v>
      </c>
    </row>
    <row r="15" spans="2:8" x14ac:dyDescent="0.3">
      <c r="B15" s="271" t="s">
        <v>934</v>
      </c>
      <c r="C15" s="272" t="s">
        <v>935</v>
      </c>
      <c r="D15" s="271" t="s">
        <v>849</v>
      </c>
      <c r="E15" s="278">
        <f>'KPIs &amp; Ratios'!H34*100</f>
        <v>5.8501638512327947</v>
      </c>
      <c r="F15" s="271" t="s">
        <v>936</v>
      </c>
    </row>
    <row r="18" spans="2:6" x14ac:dyDescent="0.3">
      <c r="B18" s="524" t="s">
        <v>937</v>
      </c>
      <c r="C18" s="524"/>
      <c r="D18" s="524"/>
      <c r="E18" s="524"/>
      <c r="F18" s="524"/>
    </row>
    <row r="19" spans="2:6" ht="19.95" customHeight="1" x14ac:dyDescent="0.3">
      <c r="B19" s="470" t="s">
        <v>938</v>
      </c>
      <c r="C19" s="470"/>
      <c r="D19" s="182" t="s">
        <v>752</v>
      </c>
    </row>
    <row r="20" spans="2:6" ht="19.95" customHeight="1" x14ac:dyDescent="0.3">
      <c r="B20" s="536" t="s">
        <v>939</v>
      </c>
      <c r="C20" s="536"/>
      <c r="D20" s="182" t="s">
        <v>752</v>
      </c>
    </row>
    <row r="21" spans="2:6" ht="19.95" customHeight="1" x14ac:dyDescent="0.3">
      <c r="B21" s="536" t="s">
        <v>786</v>
      </c>
      <c r="C21" s="536"/>
      <c r="D21" s="182" t="s">
        <v>752</v>
      </c>
    </row>
    <row r="22" spans="2:6" ht="19.95" customHeight="1" x14ac:dyDescent="0.3">
      <c r="B22" s="537" t="s">
        <v>847</v>
      </c>
      <c r="C22" s="537"/>
      <c r="D22" s="182" t="s">
        <v>752</v>
      </c>
    </row>
    <row r="23" spans="2:6" ht="19.95" customHeight="1" x14ac:dyDescent="0.3">
      <c r="B23" s="537" t="s">
        <v>940</v>
      </c>
      <c r="C23" s="537"/>
      <c r="D23" s="182" t="s">
        <v>752</v>
      </c>
    </row>
    <row r="24" spans="2:6" ht="19.95" customHeight="1" x14ac:dyDescent="0.3">
      <c r="B24" s="531" t="s">
        <v>941</v>
      </c>
      <c r="C24" s="531"/>
      <c r="D24" s="182" t="s">
        <v>752</v>
      </c>
    </row>
    <row r="25" spans="2:6" ht="19.95" customHeight="1" x14ac:dyDescent="0.3">
      <c r="B25" s="532" t="s">
        <v>942</v>
      </c>
      <c r="C25" s="532"/>
    </row>
  </sheetData>
  <mergeCells count="10">
    <mergeCell ref="B24:C24"/>
    <mergeCell ref="B25:C25"/>
    <mergeCell ref="B1:F1"/>
    <mergeCell ref="B2:F2"/>
    <mergeCell ref="B18:F18"/>
    <mergeCell ref="B19:C19"/>
    <mergeCell ref="B20:C20"/>
    <mergeCell ref="B21:C21"/>
    <mergeCell ref="B22:C22"/>
    <mergeCell ref="B23:C23"/>
  </mergeCells>
  <hyperlinks>
    <hyperlink ref="H1" location="Home!A1" tooltip="Back to Home / Index" display="⌂ Home" xr:uid="{4F578BFD-FB36-4D2B-8543-749ECFBD4AB0}"/>
  </hyperlinks>
  <pageMargins left="0.25" right="0.25" top="0.75" bottom="0.75" header="0.3" footer="0.3"/>
  <pageSetup scale="84" orientation="landscape" r:id="rId1"/>
  <colBreaks count="1" manualBreakCount="1">
    <brk id="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28BB0-E097-414F-9A24-7FB76C9A2C2F}">
  <sheetPr>
    <tabColor rgb="FF9DC3E6"/>
  </sheetPr>
  <dimension ref="B1:M18"/>
  <sheetViews>
    <sheetView showGridLines="0" zoomScaleNormal="100" workbookViewId="0">
      <selection activeCell="K3" sqref="K1:N1048576"/>
    </sheetView>
  </sheetViews>
  <sheetFormatPr defaultRowHeight="14.4" x14ac:dyDescent="0.3"/>
  <cols>
    <col min="1" max="1" width="1.77734375" customWidth="1"/>
    <col min="2" max="3" width="3.6640625" customWidth="1"/>
    <col min="4" max="6" width="13" customWidth="1"/>
    <col min="7" max="10" width="17.5546875" customWidth="1"/>
    <col min="11" max="11" width="20.6640625" customWidth="1"/>
    <col min="12" max="13" width="8.88671875" customWidth="1"/>
  </cols>
  <sheetData>
    <row r="1" spans="2:13" ht="24" customHeight="1" x14ac:dyDescent="0.3">
      <c r="B1" s="505" t="s">
        <v>321</v>
      </c>
      <c r="C1" s="549"/>
      <c r="D1" s="549"/>
      <c r="E1" s="549"/>
      <c r="F1" s="549"/>
      <c r="G1" s="549"/>
      <c r="H1" s="549"/>
      <c r="I1" s="549"/>
      <c r="J1" s="549"/>
      <c r="K1" s="550"/>
      <c r="M1" s="269" t="s">
        <v>891</v>
      </c>
    </row>
    <row r="2" spans="2:13" x14ac:dyDescent="0.3">
      <c r="B2" s="508" t="s">
        <v>322</v>
      </c>
      <c r="C2" s="551"/>
      <c r="D2" s="551"/>
      <c r="E2" s="551"/>
      <c r="F2" s="551"/>
      <c r="G2" s="551"/>
      <c r="H2" s="551"/>
      <c r="I2" s="551"/>
      <c r="J2" s="551"/>
      <c r="K2" s="552"/>
    </row>
    <row r="3" spans="2:13" x14ac:dyDescent="0.3">
      <c r="B3" s="26"/>
      <c r="K3" s="35"/>
    </row>
    <row r="4" spans="2:13" ht="48" customHeight="1" x14ac:dyDescent="0.3">
      <c r="B4" s="26"/>
      <c r="D4" s="540" t="s">
        <v>323</v>
      </c>
      <c r="E4" s="541"/>
      <c r="F4" s="542"/>
      <c r="G4" s="543" t="s">
        <v>324</v>
      </c>
      <c r="H4" s="543"/>
      <c r="I4" s="543"/>
      <c r="J4" s="543"/>
      <c r="K4" s="544"/>
    </row>
    <row r="5" spans="2:13" ht="21" x14ac:dyDescent="0.4">
      <c r="B5" s="26"/>
      <c r="D5" s="548" t="s">
        <v>325</v>
      </c>
      <c r="E5" s="548"/>
      <c r="F5" s="548"/>
      <c r="K5" s="35"/>
    </row>
    <row r="6" spans="2:13" ht="48" customHeight="1" x14ac:dyDescent="0.3">
      <c r="B6" s="26"/>
      <c r="D6" s="540" t="s">
        <v>326</v>
      </c>
      <c r="E6" s="541"/>
      <c r="F6" s="542"/>
      <c r="G6" s="543" t="s">
        <v>327</v>
      </c>
      <c r="H6" s="543"/>
      <c r="I6" s="543"/>
      <c r="J6" s="543"/>
      <c r="K6" s="544"/>
    </row>
    <row r="7" spans="2:13" ht="21" x14ac:dyDescent="0.4">
      <c r="B7" s="26"/>
      <c r="D7" s="548" t="s">
        <v>325</v>
      </c>
      <c r="E7" s="548"/>
      <c r="F7" s="548"/>
      <c r="K7" s="35"/>
    </row>
    <row r="8" spans="2:13" ht="48" customHeight="1" x14ac:dyDescent="0.3">
      <c r="B8" s="26"/>
      <c r="D8" s="540" t="s">
        <v>328</v>
      </c>
      <c r="E8" s="541"/>
      <c r="F8" s="542"/>
      <c r="G8" s="543" t="s">
        <v>329</v>
      </c>
      <c r="H8" s="543"/>
      <c r="I8" s="543"/>
      <c r="J8" s="543"/>
      <c r="K8" s="544"/>
    </row>
    <row r="9" spans="2:13" ht="21" x14ac:dyDescent="0.4">
      <c r="B9" s="26"/>
      <c r="D9" s="548" t="s">
        <v>325</v>
      </c>
      <c r="E9" s="548"/>
      <c r="F9" s="548"/>
      <c r="K9" s="35"/>
    </row>
    <row r="10" spans="2:13" ht="48" customHeight="1" x14ac:dyDescent="0.3">
      <c r="B10" s="26"/>
      <c r="D10" s="540" t="s">
        <v>330</v>
      </c>
      <c r="E10" s="541"/>
      <c r="F10" s="542"/>
      <c r="G10" s="543" t="s">
        <v>331</v>
      </c>
      <c r="H10" s="543"/>
      <c r="I10" s="543"/>
      <c r="J10" s="543"/>
      <c r="K10" s="544"/>
    </row>
    <row r="11" spans="2:13" ht="21" x14ac:dyDescent="0.4">
      <c r="B11" s="26"/>
      <c r="D11" s="548" t="s">
        <v>325</v>
      </c>
      <c r="E11" s="548"/>
      <c r="F11" s="548"/>
      <c r="K11" s="35"/>
    </row>
    <row r="12" spans="2:13" ht="48" customHeight="1" x14ac:dyDescent="0.3">
      <c r="B12" s="26"/>
      <c r="D12" s="540" t="s">
        <v>332</v>
      </c>
      <c r="E12" s="541"/>
      <c r="F12" s="542"/>
      <c r="G12" s="543" t="s">
        <v>333</v>
      </c>
      <c r="H12" s="543"/>
      <c r="I12" s="543"/>
      <c r="J12" s="543"/>
      <c r="K12" s="544"/>
    </row>
    <row r="13" spans="2:13" ht="21" x14ac:dyDescent="0.4">
      <c r="B13" s="26"/>
      <c r="D13" s="548" t="s">
        <v>325</v>
      </c>
      <c r="E13" s="548"/>
      <c r="F13" s="548"/>
      <c r="K13" s="35"/>
    </row>
    <row r="14" spans="2:13" ht="48" customHeight="1" x14ac:dyDescent="0.3">
      <c r="B14" s="26"/>
      <c r="D14" s="540" t="s">
        <v>334</v>
      </c>
      <c r="E14" s="541"/>
      <c r="F14" s="542"/>
      <c r="G14" s="543" t="s">
        <v>335</v>
      </c>
      <c r="H14" s="543"/>
      <c r="I14" s="543"/>
      <c r="J14" s="543"/>
      <c r="K14" s="544"/>
    </row>
    <row r="15" spans="2:13" ht="21" x14ac:dyDescent="0.4">
      <c r="B15" s="26"/>
      <c r="D15" s="548" t="s">
        <v>325</v>
      </c>
      <c r="E15" s="548"/>
      <c r="F15" s="548"/>
      <c r="K15" s="35"/>
    </row>
    <row r="16" spans="2:13" ht="48" customHeight="1" x14ac:dyDescent="0.3">
      <c r="B16" s="26"/>
      <c r="D16" s="545" t="s">
        <v>336</v>
      </c>
      <c r="E16" s="546"/>
      <c r="F16" s="547"/>
      <c r="G16" s="543" t="s">
        <v>337</v>
      </c>
      <c r="H16" s="543"/>
      <c r="I16" s="543"/>
      <c r="J16" s="543"/>
      <c r="K16" s="544"/>
    </row>
    <row r="17" spans="2:11" x14ac:dyDescent="0.3">
      <c r="B17" s="26"/>
      <c r="K17" s="35"/>
    </row>
    <row r="18" spans="2:11" x14ac:dyDescent="0.3">
      <c r="B18" s="70"/>
      <c r="C18" s="24"/>
      <c r="D18" s="538" t="s">
        <v>338</v>
      </c>
      <c r="E18" s="538"/>
      <c r="F18" s="538"/>
      <c r="G18" s="538"/>
      <c r="H18" s="538"/>
      <c r="I18" s="538"/>
      <c r="J18" s="538"/>
      <c r="K18" s="539"/>
    </row>
  </sheetData>
  <mergeCells count="23">
    <mergeCell ref="B1:K1"/>
    <mergeCell ref="B2:K2"/>
    <mergeCell ref="D4:F4"/>
    <mergeCell ref="G4:K4"/>
    <mergeCell ref="D6:F6"/>
    <mergeCell ref="G6:K6"/>
    <mergeCell ref="D5:F5"/>
    <mergeCell ref="G8:K8"/>
    <mergeCell ref="D10:F10"/>
    <mergeCell ref="G10:K10"/>
    <mergeCell ref="D12:F12"/>
    <mergeCell ref="G12:K12"/>
    <mergeCell ref="D7:F7"/>
    <mergeCell ref="D9:F9"/>
    <mergeCell ref="D11:F11"/>
    <mergeCell ref="D13:F13"/>
    <mergeCell ref="D8:F8"/>
    <mergeCell ref="D18:K18"/>
    <mergeCell ref="D14:F14"/>
    <mergeCell ref="G14:K14"/>
    <mergeCell ref="D16:F16"/>
    <mergeCell ref="G16:K16"/>
    <mergeCell ref="D15:F15"/>
  </mergeCells>
  <hyperlinks>
    <hyperlink ref="M1" location="Home!A1" tooltip="Back to Home / Index" display="⌂ Home" xr:uid="{94505BAB-9C3B-4E1D-8AD6-0BE45C0829F2}"/>
  </hyperlinks>
  <pageMargins left="0.23622047244094488" right="0.23622047244094488" top="0.55118110236220474" bottom="0.55118110236220474" header="0.3543307086614173" footer="0.3543307086614173"/>
  <pageSetup scale="9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AF60-6240-4160-B947-1A8E1E64DBFB}">
  <sheetPr>
    <tabColor rgb="FF9DC3E6"/>
  </sheetPr>
  <dimension ref="B1:H16"/>
  <sheetViews>
    <sheetView showGridLines="0" topLeftCell="B1" workbookViewId="0">
      <selection activeCell="F3" sqref="F1:I1048576"/>
    </sheetView>
  </sheetViews>
  <sheetFormatPr defaultRowHeight="14.4" x14ac:dyDescent="0.3"/>
  <cols>
    <col min="1" max="1" width="1.77734375" customWidth="1"/>
    <col min="2" max="2" width="48.5546875" customWidth="1"/>
    <col min="3" max="3" width="14.88671875" customWidth="1"/>
    <col min="4" max="4" width="10.5546875" customWidth="1"/>
    <col min="5" max="5" width="12.6640625" customWidth="1"/>
    <col min="6" max="6" width="42.21875" customWidth="1"/>
    <col min="7" max="8" width="8.88671875" customWidth="1"/>
  </cols>
  <sheetData>
    <row r="1" spans="2:8" ht="25.95" customHeight="1" x14ac:dyDescent="0.4">
      <c r="B1" s="533" t="s">
        <v>978</v>
      </c>
      <c r="C1" s="534"/>
      <c r="D1" s="534"/>
      <c r="E1" s="534"/>
      <c r="F1" s="534"/>
      <c r="H1" s="269" t="s">
        <v>891</v>
      </c>
    </row>
    <row r="2" spans="2:8" ht="46.05" customHeight="1" x14ac:dyDescent="0.3">
      <c r="B2" s="553" t="s">
        <v>979</v>
      </c>
      <c r="C2" s="554"/>
      <c r="D2" s="554"/>
      <c r="E2" s="554"/>
      <c r="F2" s="554"/>
    </row>
    <row r="4" spans="2:8" ht="28.8" x14ac:dyDescent="0.3">
      <c r="B4" s="179" t="s">
        <v>980</v>
      </c>
      <c r="C4" s="179" t="s">
        <v>981</v>
      </c>
      <c r="D4" s="179" t="s">
        <v>982</v>
      </c>
      <c r="E4" s="179" t="s">
        <v>983</v>
      </c>
      <c r="F4" s="179" t="s">
        <v>984</v>
      </c>
    </row>
    <row r="5" spans="2:8" x14ac:dyDescent="0.3">
      <c r="B5" s="77" t="s">
        <v>985</v>
      </c>
      <c r="C5" s="91">
        <v>0.3</v>
      </c>
      <c r="D5" s="91">
        <v>3200</v>
      </c>
      <c r="E5" s="91">
        <v>0.22</v>
      </c>
      <c r="F5" s="293" t="s">
        <v>986</v>
      </c>
    </row>
    <row r="6" spans="2:8" x14ac:dyDescent="0.3">
      <c r="B6" s="77" t="s">
        <v>987</v>
      </c>
      <c r="C6" s="91">
        <v>0.22</v>
      </c>
      <c r="D6" s="91">
        <v>2900</v>
      </c>
      <c r="E6" s="91">
        <v>0.18</v>
      </c>
      <c r="F6" s="293" t="s">
        <v>988</v>
      </c>
    </row>
    <row r="7" spans="2:8" x14ac:dyDescent="0.3">
      <c r="B7" s="77" t="s">
        <v>989</v>
      </c>
      <c r="C7" s="91">
        <v>0.32</v>
      </c>
      <c r="D7" s="91">
        <v>1400</v>
      </c>
      <c r="E7" s="91">
        <v>0.12</v>
      </c>
      <c r="F7" s="293" t="s">
        <v>990</v>
      </c>
    </row>
    <row r="8" spans="2:8" x14ac:dyDescent="0.3">
      <c r="B8" s="77" t="s">
        <v>991</v>
      </c>
      <c r="C8" s="91">
        <v>0.1</v>
      </c>
      <c r="D8" s="91">
        <v>2100</v>
      </c>
      <c r="E8" s="91">
        <v>0.15</v>
      </c>
      <c r="F8" s="293" t="s">
        <v>992</v>
      </c>
    </row>
    <row r="9" spans="2:8" x14ac:dyDescent="0.3">
      <c r="B9" s="77" t="s">
        <v>993</v>
      </c>
      <c r="C9" s="91">
        <v>0.06</v>
      </c>
      <c r="D9" s="91">
        <v>1800</v>
      </c>
      <c r="E9" s="91">
        <v>0.25</v>
      </c>
      <c r="F9" s="293" t="s">
        <v>994</v>
      </c>
    </row>
    <row r="10" spans="2:8" x14ac:dyDescent="0.3">
      <c r="B10" s="279" t="s">
        <v>995</v>
      </c>
      <c r="C10" s="211">
        <f>SUM(C5:C9)</f>
        <v>1</v>
      </c>
      <c r="D10" s="211">
        <f>SUMPRODUCT(C5:C9,D5:D9)/C10</f>
        <v>2364</v>
      </c>
      <c r="E10" s="211">
        <f>SUMPRODUCT(C5:C9,E5:E9)/C10</f>
        <v>0.17399999999999999</v>
      </c>
      <c r="F10" s="293"/>
    </row>
    <row r="11" spans="2:8" x14ac:dyDescent="0.3">
      <c r="B11" s="77"/>
      <c r="F11" s="293"/>
    </row>
    <row r="12" spans="2:8" x14ac:dyDescent="0.3">
      <c r="B12" s="555" t="s">
        <v>996</v>
      </c>
      <c r="C12" s="555"/>
      <c r="D12" s="555"/>
      <c r="E12" s="555"/>
      <c r="F12" s="555"/>
    </row>
    <row r="13" spans="2:8" ht="24.6" x14ac:dyDescent="0.3">
      <c r="B13" s="77" t="s">
        <v>997</v>
      </c>
      <c r="C13">
        <f>'KPIs &amp; Ratios'!H83</f>
        <v>500</v>
      </c>
      <c r="F13" s="293" t="s">
        <v>998</v>
      </c>
    </row>
    <row r="14" spans="2:8" ht="28.8" x14ac:dyDescent="0.3">
      <c r="B14" s="77" t="s">
        <v>999</v>
      </c>
      <c r="C14">
        <f>'KPIs &amp; Ratios'!F76</f>
        <v>0.82</v>
      </c>
      <c r="F14" s="293" t="s">
        <v>1000</v>
      </c>
    </row>
    <row r="15" spans="2:8" x14ac:dyDescent="0.3">
      <c r="B15" s="77" t="s">
        <v>1001</v>
      </c>
      <c r="C15">
        <v>400</v>
      </c>
      <c r="F15" s="293" t="s">
        <v>1002</v>
      </c>
    </row>
    <row r="16" spans="2:8" ht="24.6" x14ac:dyDescent="0.3">
      <c r="B16" s="77" t="s">
        <v>1003</v>
      </c>
      <c r="C16">
        <f>Assumptions!D13</f>
        <v>150</v>
      </c>
      <c r="F16" s="293" t="s">
        <v>1004</v>
      </c>
    </row>
  </sheetData>
  <mergeCells count="3">
    <mergeCell ref="B1:F1"/>
    <mergeCell ref="B2:F2"/>
    <mergeCell ref="B12:F12"/>
  </mergeCells>
  <hyperlinks>
    <hyperlink ref="H1" location="Home!A1" tooltip="Back to Home / Index" display="⌂ Home" xr:uid="{22693EDF-7DBF-4A23-9494-FEF1D63DF465}"/>
  </hyperlinks>
  <pageMargins left="0.25" right="0.25"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4B5C7-C284-4344-84CD-AD82207B7B95}">
  <sheetPr>
    <tabColor rgb="FF9DC3E6"/>
  </sheetPr>
  <dimension ref="B1:H18"/>
  <sheetViews>
    <sheetView showGridLines="0" workbookViewId="0">
      <selection activeCell="F3" sqref="F1:I1048576"/>
    </sheetView>
  </sheetViews>
  <sheetFormatPr defaultRowHeight="14.4" x14ac:dyDescent="0.3"/>
  <cols>
    <col min="1" max="1" width="1.77734375" customWidth="1"/>
    <col min="2" max="2" width="56.6640625" customWidth="1"/>
    <col min="3" max="3" width="10.109375" customWidth="1"/>
    <col min="4" max="4" width="10" customWidth="1"/>
    <col min="5" max="5" width="12" customWidth="1"/>
    <col min="6" max="6" width="40.5546875" customWidth="1"/>
    <col min="7" max="8" width="8.88671875" customWidth="1"/>
  </cols>
  <sheetData>
    <row r="1" spans="2:8" ht="25.95" customHeight="1" x14ac:dyDescent="0.4">
      <c r="B1" s="533" t="s">
        <v>955</v>
      </c>
      <c r="C1" s="534"/>
      <c r="D1" s="534"/>
      <c r="E1" s="534"/>
      <c r="F1" s="534"/>
      <c r="H1" s="269" t="s">
        <v>891</v>
      </c>
    </row>
    <row r="2" spans="2:8" ht="40.049999999999997" customHeight="1" x14ac:dyDescent="0.3">
      <c r="B2" s="553" t="s">
        <v>956</v>
      </c>
      <c r="C2" s="554"/>
      <c r="D2" s="554"/>
      <c r="E2" s="554"/>
      <c r="F2" s="554"/>
    </row>
    <row r="4" spans="2:8" ht="28.8" x14ac:dyDescent="0.3">
      <c r="B4" s="280" t="s">
        <v>780</v>
      </c>
      <c r="C4" s="280" t="s">
        <v>7</v>
      </c>
      <c r="D4" s="280" t="s">
        <v>8</v>
      </c>
      <c r="E4" s="280" t="s">
        <v>9</v>
      </c>
      <c r="F4" s="280" t="s">
        <v>957</v>
      </c>
    </row>
    <row r="5" spans="2:8" x14ac:dyDescent="0.3">
      <c r="B5" s="271" t="s">
        <v>958</v>
      </c>
      <c r="C5" s="286">
        <f>'Customer Analytics'!D5</f>
        <v>15</v>
      </c>
      <c r="D5" s="286">
        <f>'Customer Analytics'!E5</f>
        <v>18</v>
      </c>
      <c r="E5" s="286">
        <f>'Customer Analytics'!F5</f>
        <v>22</v>
      </c>
      <c r="F5" s="292" t="s">
        <v>959</v>
      </c>
    </row>
    <row r="6" spans="2:8" x14ac:dyDescent="0.3">
      <c r="B6" s="271" t="s">
        <v>282</v>
      </c>
      <c r="C6" s="286">
        <f>'Customer Analytics'!D6</f>
        <v>4</v>
      </c>
      <c r="D6" s="286">
        <f>'Customer Analytics'!E6</f>
        <v>3</v>
      </c>
      <c r="E6" s="286">
        <f>'Customer Analytics'!F6</f>
        <v>4</v>
      </c>
      <c r="F6" s="292" t="s">
        <v>960</v>
      </c>
    </row>
    <row r="7" spans="2:8" x14ac:dyDescent="0.3">
      <c r="B7" s="271" t="s">
        <v>961</v>
      </c>
      <c r="C7" s="289">
        <f>'Customer Analytics'!D7</f>
        <v>3000</v>
      </c>
      <c r="D7" s="289">
        <f>'Customer Analytics'!E7</f>
        <v>2750</v>
      </c>
      <c r="E7" s="289">
        <f>'Customer Analytics'!F7</f>
        <v>2500</v>
      </c>
      <c r="F7" s="292" t="s">
        <v>962</v>
      </c>
    </row>
    <row r="8" spans="2:8" x14ac:dyDescent="0.3">
      <c r="B8" s="271" t="s">
        <v>963</v>
      </c>
      <c r="C8" s="281">
        <f>'Customer Analytics'!D10</f>
        <v>166686.66666666666</v>
      </c>
      <c r="D8" s="281">
        <f>'Customer Analytics'!E10</f>
        <v>197950</v>
      </c>
      <c r="E8" s="281">
        <f>'Customer Analytics'!F10</f>
        <v>274309.09090909094</v>
      </c>
      <c r="F8" s="292" t="s">
        <v>964</v>
      </c>
    </row>
    <row r="9" spans="2:8" x14ac:dyDescent="0.3">
      <c r="B9" s="271" t="s">
        <v>965</v>
      </c>
      <c r="C9" s="290">
        <f>'Customer Analytics'!D8</f>
        <v>0.21</v>
      </c>
      <c r="D9" s="290">
        <f>'Customer Analytics'!E8</f>
        <v>0.24</v>
      </c>
      <c r="E9" s="290">
        <f>'Customer Analytics'!F8</f>
        <v>0.27</v>
      </c>
      <c r="F9" s="292" t="s">
        <v>962</v>
      </c>
    </row>
    <row r="10" spans="2:8" x14ac:dyDescent="0.3">
      <c r="B10" s="271"/>
      <c r="C10" s="271"/>
      <c r="D10" s="271"/>
      <c r="E10" s="271"/>
      <c r="F10" s="292"/>
    </row>
    <row r="11" spans="2:8" x14ac:dyDescent="0.3">
      <c r="B11" s="556" t="s">
        <v>966</v>
      </c>
      <c r="C11" s="557"/>
      <c r="D11" s="557"/>
      <c r="E11" s="557"/>
      <c r="F11" s="558"/>
    </row>
    <row r="12" spans="2:8" x14ac:dyDescent="0.3">
      <c r="B12" s="271" t="s">
        <v>967</v>
      </c>
      <c r="C12" s="271"/>
      <c r="D12" s="271"/>
      <c r="E12" s="281">
        <f>E8*'KPIs &amp; Ratios'!H25</f>
        <v>38004.454967919301</v>
      </c>
      <c r="F12" s="292" t="s">
        <v>968</v>
      </c>
    </row>
    <row r="13" spans="2:8" x14ac:dyDescent="0.3">
      <c r="B13" s="271" t="s">
        <v>969</v>
      </c>
      <c r="C13" s="271"/>
      <c r="D13" s="271"/>
      <c r="E13" s="281">
        <f>E8*('KPIs &amp; Ratios'!H25-'KPIs &amp; Ratios'!H26-'KPIs &amp; Ratios'!H43)</f>
        <v>10653.888191306733</v>
      </c>
      <c r="F13" s="292" t="s">
        <v>970</v>
      </c>
    </row>
    <row r="14" spans="2:8" x14ac:dyDescent="0.3">
      <c r="B14" s="271" t="s">
        <v>971</v>
      </c>
      <c r="C14" s="271"/>
      <c r="D14" s="271"/>
      <c r="E14" s="287">
        <f>IFERROR(E7/E13,"")</f>
        <v>0.23465611381579246</v>
      </c>
      <c r="F14" s="292" t="s">
        <v>972</v>
      </c>
    </row>
    <row r="15" spans="2:8" x14ac:dyDescent="0.3">
      <c r="B15" s="271" t="s">
        <v>973</v>
      </c>
      <c r="C15" s="271"/>
      <c r="D15" s="271"/>
      <c r="E15" s="281">
        <f>E13*C18</f>
        <v>31961.664573920199</v>
      </c>
      <c r="F15" s="292" t="s">
        <v>974</v>
      </c>
    </row>
    <row r="16" spans="2:8" x14ac:dyDescent="0.3">
      <c r="B16" s="271" t="s">
        <v>975</v>
      </c>
      <c r="C16" s="271"/>
      <c r="D16" s="271"/>
      <c r="E16" s="288">
        <f>IFERROR(E15/E7,"")</f>
        <v>12.78466582956808</v>
      </c>
      <c r="F16" s="292" t="s">
        <v>976</v>
      </c>
    </row>
    <row r="17" spans="2:6" x14ac:dyDescent="0.3">
      <c r="B17" s="271"/>
      <c r="C17" s="271"/>
      <c r="D17" s="271"/>
      <c r="E17" s="271"/>
      <c r="F17" s="271"/>
    </row>
    <row r="18" spans="2:6" x14ac:dyDescent="0.3">
      <c r="B18" s="271" t="s">
        <v>977</v>
      </c>
      <c r="C18" s="291">
        <v>3</v>
      </c>
      <c r="D18" s="271"/>
      <c r="E18" s="271"/>
      <c r="F18" s="271"/>
    </row>
  </sheetData>
  <mergeCells count="3">
    <mergeCell ref="B1:F1"/>
    <mergeCell ref="B2:F2"/>
    <mergeCell ref="B11:F11"/>
  </mergeCells>
  <hyperlinks>
    <hyperlink ref="H1" location="Home!A1" tooltip="Back to Home / Index" display="⌂ Home" xr:uid="{1A0800AA-2C41-4D82-9AD2-6D71ECE2E5B1}"/>
  </hyperlinks>
  <pageMargins left="0.25" right="0.25" top="0.75" bottom="0.75" header="0.3" footer="0.3"/>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AEFA1-1FED-42C2-AC5B-672F52F35460}">
  <sheetPr>
    <tabColor rgb="FF9DC3E6"/>
  </sheetPr>
  <dimension ref="B1:H10"/>
  <sheetViews>
    <sheetView showGridLines="0" workbookViewId="0">
      <selection activeCell="H17" sqref="H17"/>
    </sheetView>
  </sheetViews>
  <sheetFormatPr defaultRowHeight="14.4" x14ac:dyDescent="0.3"/>
  <cols>
    <col min="1" max="1" width="1.77734375" customWidth="1"/>
    <col min="2" max="2" width="63" customWidth="1"/>
    <col min="3" max="6" width="17.21875" customWidth="1"/>
    <col min="7" max="8" width="8.88671875" customWidth="1"/>
  </cols>
  <sheetData>
    <row r="1" spans="2:8" ht="24" customHeight="1" x14ac:dyDescent="0.3">
      <c r="B1" s="505" t="s">
        <v>279</v>
      </c>
      <c r="C1" s="549"/>
      <c r="D1" s="549"/>
      <c r="E1" s="549"/>
      <c r="F1" s="550"/>
      <c r="H1" s="269" t="s">
        <v>891</v>
      </c>
    </row>
    <row r="2" spans="2:8" ht="36" customHeight="1" x14ac:dyDescent="0.3">
      <c r="B2" s="508" t="s">
        <v>280</v>
      </c>
      <c r="C2" s="551"/>
      <c r="D2" s="551"/>
      <c r="E2" s="551"/>
      <c r="F2" s="552"/>
    </row>
    <row r="3" spans="2:8" x14ac:dyDescent="0.3">
      <c r="B3" s="26"/>
      <c r="F3" s="35"/>
    </row>
    <row r="4" spans="2:8" ht="15" thickBot="1" x14ac:dyDescent="0.35">
      <c r="B4" s="47" t="s">
        <v>3</v>
      </c>
      <c r="C4" s="48" t="s">
        <v>6</v>
      </c>
      <c r="D4" s="48" t="s">
        <v>7</v>
      </c>
      <c r="E4" s="48" t="s">
        <v>8</v>
      </c>
      <c r="F4" s="64" t="s">
        <v>9</v>
      </c>
    </row>
    <row r="5" spans="2:8" x14ac:dyDescent="0.3">
      <c r="B5" s="26" t="s">
        <v>281</v>
      </c>
      <c r="C5" s="123">
        <v>11</v>
      </c>
      <c r="D5" s="123">
        <v>15</v>
      </c>
      <c r="E5" s="123">
        <v>18</v>
      </c>
      <c r="F5" s="126">
        <v>22</v>
      </c>
    </row>
    <row r="6" spans="2:8" x14ac:dyDescent="0.3">
      <c r="B6" s="26" t="s">
        <v>282</v>
      </c>
      <c r="C6" s="124"/>
      <c r="D6" s="124">
        <f>D5-C5</f>
        <v>4</v>
      </c>
      <c r="E6" s="124">
        <f>E5-D5</f>
        <v>3</v>
      </c>
      <c r="F6" s="127">
        <f>F5-E5</f>
        <v>4</v>
      </c>
    </row>
    <row r="7" spans="2:8" x14ac:dyDescent="0.3">
      <c r="B7" s="26" t="s">
        <v>283</v>
      </c>
      <c r="C7" s="90">
        <v>3200</v>
      </c>
      <c r="D7" s="90">
        <v>3000</v>
      </c>
      <c r="E7" s="90">
        <v>2750</v>
      </c>
      <c r="F7" s="120">
        <v>2500</v>
      </c>
    </row>
    <row r="8" spans="2:8" x14ac:dyDescent="0.3">
      <c r="B8" s="26" t="s">
        <v>284</v>
      </c>
      <c r="C8" s="98">
        <v>0.18</v>
      </c>
      <c r="D8" s="98">
        <v>0.21</v>
      </c>
      <c r="E8" s="98">
        <v>0.24</v>
      </c>
      <c r="F8" s="121">
        <v>0.27</v>
      </c>
    </row>
    <row r="9" spans="2:8" x14ac:dyDescent="0.3">
      <c r="B9" s="26" t="s">
        <v>566</v>
      </c>
      <c r="C9" s="17">
        <f>'Business Performance Scorecard'!E161</f>
        <v>16143</v>
      </c>
      <c r="D9" s="17">
        <f>'Business Performance Scorecard'!F161</f>
        <v>25003</v>
      </c>
      <c r="E9" s="17">
        <f>'Business Performance Scorecard'!G161</f>
        <v>35631</v>
      </c>
      <c r="F9" s="39">
        <f>'Business Performance Scorecard'!H161</f>
        <v>60348</v>
      </c>
    </row>
    <row r="10" spans="2:8" x14ac:dyDescent="0.3">
      <c r="B10" s="70" t="s">
        <v>285</v>
      </c>
      <c r="C10" s="125">
        <f>IFERROR(C9/(C5*100000)*10000000,"")</f>
        <v>146754.54545454544</v>
      </c>
      <c r="D10" s="125">
        <f>IFERROR(D9/(D5*100000)*10000000,"")</f>
        <v>166686.66666666666</v>
      </c>
      <c r="E10" s="125">
        <f>IFERROR(E9/(E5*100000)*10000000,"")</f>
        <v>197950</v>
      </c>
      <c r="F10" s="128">
        <f>IFERROR(F9/(F5*100000)*10000000,"")</f>
        <v>274309.09090909094</v>
      </c>
    </row>
  </sheetData>
  <mergeCells count="2">
    <mergeCell ref="B1:F1"/>
    <mergeCell ref="B2:F2"/>
  </mergeCells>
  <hyperlinks>
    <hyperlink ref="H1" location="Home!A1" tooltip="Back to Home / Index" display="⌂ Home" xr:uid="{FBFFC236-2806-4CB7-B698-C00D3E0FABDA}"/>
  </hyperlinks>
  <pageMargins left="0.25" right="0.25" top="0.75" bottom="0.75" header="0.3" footer="0.3"/>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BD30B-A985-4368-942B-6D8C270FC39C}">
  <sheetPr>
    <tabColor rgb="FF16736A"/>
  </sheetPr>
  <dimension ref="B2:F17"/>
  <sheetViews>
    <sheetView showGridLines="0" topLeftCell="A2" workbookViewId="0">
      <selection activeCell="D3" sqref="D1:G1048576"/>
    </sheetView>
  </sheetViews>
  <sheetFormatPr defaultRowHeight="14.4" x14ac:dyDescent="0.3"/>
  <cols>
    <col min="1" max="1" width="1.77734375" customWidth="1"/>
    <col min="2" max="2" width="11.109375" customWidth="1"/>
    <col min="3" max="3" width="55.5546875" customWidth="1"/>
    <col min="4" max="4" width="59.21875" customWidth="1"/>
    <col min="5" max="6" width="8.88671875" customWidth="1"/>
  </cols>
  <sheetData>
    <row r="2" spans="2:6" ht="40.049999999999997" customHeight="1" x14ac:dyDescent="0.3">
      <c r="B2" s="560" t="s">
        <v>1084</v>
      </c>
      <c r="C2" s="561" t="s">
        <v>1085</v>
      </c>
      <c r="D2" s="561"/>
      <c r="F2" s="269" t="s">
        <v>891</v>
      </c>
    </row>
    <row r="3" spans="2:6" ht="7.95" customHeight="1" x14ac:dyDescent="0.3">
      <c r="B3" s="560"/>
    </row>
    <row r="4" spans="2:6" ht="61.95" customHeight="1" x14ac:dyDescent="0.3">
      <c r="B4" s="560"/>
      <c r="C4" s="530" t="s">
        <v>1086</v>
      </c>
      <c r="D4" s="530"/>
    </row>
    <row r="6" spans="2:6" x14ac:dyDescent="0.3">
      <c r="B6" s="559" t="s">
        <v>1072</v>
      </c>
      <c r="C6" s="559"/>
      <c r="D6" s="559"/>
    </row>
    <row r="7" spans="2:6" x14ac:dyDescent="0.3">
      <c r="C7" s="526" t="s">
        <v>1087</v>
      </c>
      <c r="D7" s="526"/>
    </row>
    <row r="8" spans="2:6" x14ac:dyDescent="0.3">
      <c r="C8" s="526" t="s">
        <v>1088</v>
      </c>
      <c r="D8" s="526"/>
    </row>
    <row r="9" spans="2:6" x14ac:dyDescent="0.3">
      <c r="C9" s="526" t="s">
        <v>1089</v>
      </c>
      <c r="D9" s="526"/>
    </row>
    <row r="10" spans="2:6" x14ac:dyDescent="0.3">
      <c r="C10" s="526" t="s">
        <v>1090</v>
      </c>
      <c r="D10" s="526"/>
    </row>
    <row r="12" spans="2:6" x14ac:dyDescent="0.3">
      <c r="B12" s="559" t="s">
        <v>1077</v>
      </c>
      <c r="C12" s="559"/>
      <c r="D12" s="559"/>
    </row>
    <row r="13" spans="2:6" x14ac:dyDescent="0.3">
      <c r="B13" s="340" t="s">
        <v>1462</v>
      </c>
      <c r="C13" s="285" t="s">
        <v>869</v>
      </c>
      <c r="D13" s="285" t="s">
        <v>1078</v>
      </c>
    </row>
    <row r="14" spans="2:6" ht="24" x14ac:dyDescent="0.3">
      <c r="B14" s="435" t="s">
        <v>1434</v>
      </c>
      <c r="C14" s="413" t="s">
        <v>1139</v>
      </c>
      <c r="D14" s="295" t="s">
        <v>1091</v>
      </c>
    </row>
    <row r="15" spans="2:6" ht="24" x14ac:dyDescent="0.3">
      <c r="B15" s="435" t="s">
        <v>1435</v>
      </c>
      <c r="C15" s="413" t="s">
        <v>1140</v>
      </c>
      <c r="D15" s="295" t="s">
        <v>1092</v>
      </c>
    </row>
    <row r="16" spans="2:6" ht="24" x14ac:dyDescent="0.3">
      <c r="B16" s="435" t="s">
        <v>1436</v>
      </c>
      <c r="C16" s="294" t="s">
        <v>871</v>
      </c>
      <c r="D16" s="295" t="s">
        <v>1093</v>
      </c>
    </row>
    <row r="17" spans="2:4" ht="24" x14ac:dyDescent="0.3">
      <c r="B17" s="435" t="s">
        <v>1437</v>
      </c>
      <c r="C17" s="294" t="s">
        <v>873</v>
      </c>
      <c r="D17" s="295" t="s">
        <v>1094</v>
      </c>
    </row>
  </sheetData>
  <mergeCells count="9">
    <mergeCell ref="C9:D9"/>
    <mergeCell ref="C10:D10"/>
    <mergeCell ref="B12:D12"/>
    <mergeCell ref="B2:B4"/>
    <mergeCell ref="C2:D2"/>
    <mergeCell ref="C4:D4"/>
    <mergeCell ref="B6:D6"/>
    <mergeCell ref="C7:D7"/>
    <mergeCell ref="C8:D8"/>
  </mergeCells>
  <hyperlinks>
    <hyperlink ref="C14" location="'Executive Board Cockpit'!A1" tooltip="Go to Executive Board Cockpit" display="Executive Board Cockpit" xr:uid="{1C1E6FD1-F0B9-4F3F-9C1B-9FDDE2D1A419}"/>
    <hyperlink ref="C15" location="'Business Performance Scorecard'!A1" tooltip="Go to Business Performance Scorecard" display="Business Performance Scorecard" xr:uid="{4C8AC703-0DFA-4C1B-A4DF-B47C52F96070}"/>
    <hyperlink ref="C16" location="'Business Drivers'!A1" tooltip="Go to Business Drivers" display="Business Drivers" xr:uid="{E30A9AB8-5D70-462B-A2E7-6843BC85A0C6}"/>
    <hyperlink ref="C17" location="'KPIs &amp; Ratios'!A1" tooltip="Go to KPIs &amp; Ratios" display="KPIs &amp; Ratios" xr:uid="{016AE067-BE36-4C28-9CFE-51ED75A5061C}"/>
    <hyperlink ref="F2" location="Home!A1" tooltip="Back to Home / Index" display="⌂ Home" xr:uid="{C199C25D-1F5A-46DA-A311-45FC25892F2D}"/>
  </hyperlinks>
  <pageMargins left="0.25" right="0.25"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FD109-6486-407F-AAEB-62E150BBF949}">
  <sheetPr>
    <tabColor rgb="FFA9DFD8"/>
  </sheetPr>
  <dimension ref="A1:I83"/>
  <sheetViews>
    <sheetView showGridLines="0" view="pageBreakPreview" zoomScale="60" zoomScaleNormal="100" workbookViewId="0">
      <selection activeCell="G3" sqref="G1:J1048576"/>
    </sheetView>
  </sheetViews>
  <sheetFormatPr defaultRowHeight="14.4" x14ac:dyDescent="0.3"/>
  <cols>
    <col min="1" max="1" width="1.77734375" customWidth="1"/>
    <col min="2" max="2" width="24.109375" customWidth="1"/>
    <col min="3" max="3" width="27.77734375" customWidth="1"/>
    <col min="4" max="6" width="20.33203125" customWidth="1"/>
    <col min="7" max="7" width="13" customWidth="1"/>
    <col min="8" max="9" width="8.88671875" customWidth="1"/>
  </cols>
  <sheetData>
    <row r="1" spans="1:9" ht="25.95" customHeight="1" x14ac:dyDescent="0.3">
      <c r="A1" s="10"/>
      <c r="B1" s="569" t="s">
        <v>745</v>
      </c>
      <c r="C1" s="570"/>
      <c r="D1" s="570"/>
      <c r="E1" s="570"/>
      <c r="F1" s="570"/>
      <c r="G1" s="571"/>
      <c r="I1" s="269" t="s">
        <v>891</v>
      </c>
    </row>
    <row r="2" spans="1:9" ht="18" customHeight="1" x14ac:dyDescent="0.3">
      <c r="B2" s="572" t="str">
        <f>"""Driving Sustainable Shareholder Value""  —  Board Pack  —  "&amp;'Scenario Analysis'!C5&amp;" Case Scenario"</f>
        <v>"Driving Sustainable Shareholder Value"  —  Board Pack  —  Base Case Scenario</v>
      </c>
      <c r="C2" s="573"/>
      <c r="D2" s="573"/>
      <c r="E2" s="573"/>
      <c r="F2" s="573"/>
      <c r="G2" s="574"/>
    </row>
    <row r="3" spans="1:9" x14ac:dyDescent="0.3">
      <c r="B3" s="26"/>
      <c r="G3" s="35"/>
    </row>
    <row r="4" spans="1:9" x14ac:dyDescent="0.3">
      <c r="B4" s="567" t="s">
        <v>746</v>
      </c>
      <c r="C4" s="524"/>
      <c r="D4" s="524"/>
      <c r="E4" s="524"/>
      <c r="F4" s="524"/>
      <c r="G4" s="568"/>
    </row>
    <row r="5" spans="1:9" ht="28.8" x14ac:dyDescent="0.3">
      <c r="B5" s="187" t="s">
        <v>747</v>
      </c>
      <c r="C5" s="179" t="s">
        <v>292</v>
      </c>
      <c r="D5" s="179" t="s">
        <v>748</v>
      </c>
      <c r="E5" s="179" t="str">
        <f>"Target (FY27E, "&amp;'Scenario Analysis'!C5&amp;" Case)"</f>
        <v>Target (FY27E, Base Case)</v>
      </c>
      <c r="F5" s="179" t="s">
        <v>744</v>
      </c>
      <c r="G5" s="192" t="s">
        <v>655</v>
      </c>
    </row>
    <row r="6" spans="1:9" ht="18" x14ac:dyDescent="0.35">
      <c r="B6" s="26" t="s">
        <v>302</v>
      </c>
      <c r="C6" t="s">
        <v>755</v>
      </c>
      <c r="D6" s="99">
        <f>'Balance Sheet'!H14</f>
        <v>55951.49</v>
      </c>
      <c r="E6" s="99">
        <f>'Business Drivers'!D21</f>
        <v>86376.468499999988</v>
      </c>
      <c r="F6" s="180" t="str">
        <f>IF(D6&gt;'Balance Sheet'!G14,"▲","▼")</f>
        <v>▲</v>
      </c>
      <c r="G6" s="193" t="str">
        <f>IF(D6&gt;=E6*0.6,"GREEN",IF(D6&gt;=E6*0.5,"YELLOW","RED"))</f>
        <v>GREEN</v>
      </c>
    </row>
    <row r="7" spans="1:9" ht="18" x14ac:dyDescent="0.35">
      <c r="B7" s="26" t="s">
        <v>298</v>
      </c>
      <c r="C7" t="s">
        <v>749</v>
      </c>
      <c r="D7" s="181">
        <f>'KPIs &amp; Ratios'!H34*100</f>
        <v>5.8501638512327947</v>
      </c>
      <c r="E7" s="181">
        <f>'KPIs &amp; Ratios'!I34*100</f>
        <v>12.977668731445341</v>
      </c>
      <c r="F7" s="180" t="str">
        <f>IF(E7&gt;D7,"▲","▼")</f>
        <v>▲</v>
      </c>
      <c r="G7" s="193" t="str">
        <f>IF(D7&gt;15,"GREEN",IF(D7&gt;8,"YELLOW","RED"))</f>
        <v>RED</v>
      </c>
    </row>
    <row r="8" spans="1:9" ht="18" x14ac:dyDescent="0.35">
      <c r="B8" s="26" t="s">
        <v>311</v>
      </c>
      <c r="C8" t="s">
        <v>313</v>
      </c>
      <c r="D8" s="89">
        <f>'Business Performance Scorecard'!C192</f>
        <v>1.37E-2</v>
      </c>
      <c r="E8" s="89">
        <f>'Credit Cost Forecast'!D6</f>
        <v>1.35E-2</v>
      </c>
      <c r="F8" s="180" t="str">
        <f>IF(D8&lt;'KPIs &amp; Ratios'!H44/100,"▼","▲")</f>
        <v>▼</v>
      </c>
      <c r="G8" s="193" t="str">
        <f>IF(D8&lt;0.013,"GREEN",IF(D8&lt;0.02,"YELLOW","RED"))</f>
        <v>YELLOW</v>
      </c>
    </row>
    <row r="9" spans="1:9" ht="18" x14ac:dyDescent="0.35">
      <c r="B9" s="26" t="s">
        <v>385</v>
      </c>
      <c r="C9" t="s">
        <v>750</v>
      </c>
      <c r="D9" s="181">
        <f>'KPIs &amp; Ratios'!H30*100</f>
        <v>52.009441595639586</v>
      </c>
      <c r="E9" s="181">
        <f>'KPIs &amp; Ratios'!I30*100</f>
        <v>41.033648497453321</v>
      </c>
      <c r="F9" s="180" t="str">
        <f>IF(E9&lt;D9,"▲","▼")</f>
        <v>▲</v>
      </c>
      <c r="G9" s="193" t="str">
        <f>IF(D9&lt;45,"GREEN",IF(D9&lt;55,"YELLOW","RED"))</f>
        <v>YELLOW</v>
      </c>
    </row>
    <row r="10" spans="1:9" ht="18" x14ac:dyDescent="0.35">
      <c r="B10" s="26" t="s">
        <v>751</v>
      </c>
      <c r="C10" t="s">
        <v>663</v>
      </c>
      <c r="D10" s="101">
        <f>'KPIs &amp; Ratios'!H54</f>
        <v>181</v>
      </c>
      <c r="E10" t="s">
        <v>821</v>
      </c>
      <c r="F10" s="180" t="s">
        <v>752</v>
      </c>
      <c r="G10" s="193" t="str">
        <f>IF(D10&gt;150,"GREEN",IF(D10&gt;120,"YELLOW","RED"))</f>
        <v>GREEN</v>
      </c>
    </row>
    <row r="11" spans="1:9" ht="18" x14ac:dyDescent="0.35">
      <c r="B11" s="26" t="s">
        <v>753</v>
      </c>
      <c r="C11" t="s">
        <v>754</v>
      </c>
      <c r="D11" s="101">
        <f>'KPIs &amp; Ratios'!H64</f>
        <v>6.84</v>
      </c>
      <c r="E11" s="101">
        <f>'KPIs &amp; Ratios'!I64</f>
        <v>13.336712212887623</v>
      </c>
      <c r="F11" s="180" t="str">
        <f>IF(E11&gt;D11,"▲","▼")</f>
        <v>▲</v>
      </c>
      <c r="G11" s="193" t="str">
        <f>IF(D11&gt;15,"GREEN",IF(D11&gt;5,"YELLOW","RED"))</f>
        <v>YELLOW</v>
      </c>
    </row>
    <row r="12" spans="1:9" x14ac:dyDescent="0.3">
      <c r="B12" s="26"/>
      <c r="G12" s="35"/>
    </row>
    <row r="13" spans="1:9" x14ac:dyDescent="0.3">
      <c r="B13" s="567" t="s">
        <v>756</v>
      </c>
      <c r="C13" s="524"/>
      <c r="D13" s="524"/>
      <c r="E13" s="524"/>
      <c r="F13" s="524"/>
      <c r="G13" s="568"/>
    </row>
    <row r="14" spans="1:9" x14ac:dyDescent="0.3">
      <c r="B14" s="575" t="str">
        <f>"AUM reached ₹"&amp;TEXT('Business Performance Scorecard'!H161,"#,##0")&amp;" Cr in FY26 (+"&amp;TEXT('KPIs &amp; Ratios'!H8,"0.0%")&amp;" YoY), driven by continued expansion of secured and unsecured retail lending, while Gross NPA improved to "&amp;TEXT('Business Performance Scorecard'!C192,"0.00%")&amp;" (Q1 FY27). Funding costs remain manageable at "&amp;TEXT('Business Performance Scorecard'!C200,"0.00%")&amp;", though operating efficiency — Cost-to-Income at "&amp;TEXT('KPIs &amp; Ratios'!H30*100,"0.0")&amp;"% — requires further improvement. The Base Case forecast projects PAT growing from ₹"&amp;TEXT('KPIs &amp; Ratios'!H35,"#,##0")&amp;" Cr (FY26A) to ₹"&amp;TEXT('KPIs &amp; Ratios'!I35,"#,##0")&amp;" Cr by FY27E, supported by disciplined capital allocation (₹"&amp;TEXT('Value Creation Tracker'!G10,"#,##0")&amp;" Cr of identified value-creation impact) and enhanced branch productivity."</f>
        <v>AUM reached ₹60,348 Cr in FY26 (+69.4% YoY), driven by continued expansion of secured and unsecured retail lending, while Gross NPA improved to 1.37% (Q1 FY27). Funding costs remain manageable at 7.72%, though operating efficiency — Cost-to-Income at 52.0% — requires further improvement. The Base Case forecast projects PAT growing from ₹542 Cr (FY26A) to ₹1,782 Cr by FY27E, supported by disciplined capital allocation (₹350 Cr of identified value-creation impact) and enhanced branch productivity.</v>
      </c>
      <c r="C14" s="576"/>
      <c r="D14" s="576"/>
      <c r="E14" s="576"/>
      <c r="F14" s="576"/>
      <c r="G14" s="577"/>
    </row>
    <row r="15" spans="1:9" x14ac:dyDescent="0.3">
      <c r="B15" s="578"/>
      <c r="C15" s="576"/>
      <c r="D15" s="576"/>
      <c r="E15" s="576"/>
      <c r="F15" s="576"/>
      <c r="G15" s="577"/>
    </row>
    <row r="16" spans="1:9" x14ac:dyDescent="0.3">
      <c r="B16" s="578"/>
      <c r="C16" s="576"/>
      <c r="D16" s="576"/>
      <c r="E16" s="576"/>
      <c r="F16" s="576"/>
      <c r="G16" s="577"/>
    </row>
    <row r="17" spans="2:7" x14ac:dyDescent="0.3">
      <c r="B17" s="578"/>
      <c r="C17" s="576"/>
      <c r="D17" s="576"/>
      <c r="E17" s="576"/>
      <c r="F17" s="576"/>
      <c r="G17" s="577"/>
    </row>
    <row r="18" spans="2:7" x14ac:dyDescent="0.3">
      <c r="B18" s="26"/>
      <c r="G18" s="35"/>
    </row>
    <row r="19" spans="2:7" x14ac:dyDescent="0.3">
      <c r="B19" s="567" t="s">
        <v>757</v>
      </c>
      <c r="C19" s="524"/>
      <c r="D19" s="524" t="s">
        <v>763</v>
      </c>
      <c r="E19" s="524"/>
      <c r="F19" s="524"/>
      <c r="G19" s="568"/>
    </row>
    <row r="20" spans="2:7" x14ac:dyDescent="0.3">
      <c r="B20" s="563" t="s">
        <v>758</v>
      </c>
      <c r="C20" s="470"/>
      <c r="D20" s="12" t="s">
        <v>764</v>
      </c>
      <c r="E20" s="12" t="s">
        <v>765</v>
      </c>
      <c r="F20" s="12" t="s">
        <v>744</v>
      </c>
      <c r="G20" s="60" t="s">
        <v>766</v>
      </c>
    </row>
    <row r="21" spans="2:7" ht="15.6" x14ac:dyDescent="0.3">
      <c r="B21" s="188" t="s">
        <v>325</v>
      </c>
      <c r="D21" t="s">
        <v>767</v>
      </c>
      <c r="E21" s="101">
        <f>'Business Drivers'!C9</f>
        <v>22</v>
      </c>
      <c r="F21" s="183" t="str">
        <f>IF('Business Drivers'!C9&gt;'Customer Analytics'!E5,"▲","▼")</f>
        <v>▲</v>
      </c>
      <c r="G21" s="194" t="s">
        <v>768</v>
      </c>
    </row>
    <row r="22" spans="2:7" ht="15.6" x14ac:dyDescent="0.3">
      <c r="B22" s="564" t="s">
        <v>759</v>
      </c>
      <c r="C22" s="536"/>
      <c r="D22" t="s">
        <v>769</v>
      </c>
      <c r="E22" s="181">
        <f>'KPIs &amp; Ratios'!H8*100</f>
        <v>69.369369369369366</v>
      </c>
      <c r="F22" s="183" t="str">
        <f>IF('KPIs &amp; Ratios'!H8&gt;'KPIs &amp; Ratios'!G8,"▲","▼")</f>
        <v>▲</v>
      </c>
      <c r="G22" s="194" t="s">
        <v>768</v>
      </c>
    </row>
    <row r="23" spans="2:7" ht="15.6" x14ac:dyDescent="0.3">
      <c r="B23" s="188" t="s">
        <v>325</v>
      </c>
      <c r="D23" t="s">
        <v>770</v>
      </c>
      <c r="E23" s="181">
        <f>'KPIs &amp; Ratios'!H25*100</f>
        <v>13.854610083088495</v>
      </c>
      <c r="F23" s="183" t="s">
        <v>752</v>
      </c>
      <c r="G23" s="194" t="s">
        <v>771</v>
      </c>
    </row>
    <row r="24" spans="2:7" ht="15.6" x14ac:dyDescent="0.3">
      <c r="B24" s="564" t="s">
        <v>760</v>
      </c>
      <c r="C24" s="536"/>
      <c r="D24" t="s">
        <v>772</v>
      </c>
      <c r="E24" s="181">
        <f>'KPIs &amp; Ratios'!H43*100</f>
        <v>2.4910867835090977</v>
      </c>
      <c r="F24" s="183" t="str">
        <f>IF('KPIs &amp; Ratios'!H43&lt;'KPIs &amp; Ratios'!G43,"▼","▲")</f>
        <v>▼</v>
      </c>
      <c r="G24" s="194" t="s">
        <v>768</v>
      </c>
    </row>
    <row r="25" spans="2:7" x14ac:dyDescent="0.3">
      <c r="B25" s="188" t="s">
        <v>325</v>
      </c>
      <c r="G25" s="35"/>
    </row>
    <row r="26" spans="2:7" x14ac:dyDescent="0.3">
      <c r="B26" s="565" t="s">
        <v>761</v>
      </c>
      <c r="C26" s="537"/>
      <c r="G26" s="35"/>
    </row>
    <row r="27" spans="2:7" x14ac:dyDescent="0.3">
      <c r="B27" s="188" t="s">
        <v>325</v>
      </c>
      <c r="G27" s="35"/>
    </row>
    <row r="28" spans="2:7" x14ac:dyDescent="0.3">
      <c r="B28" s="566" t="s">
        <v>762</v>
      </c>
      <c r="C28" s="531"/>
      <c r="G28" s="35"/>
    </row>
    <row r="29" spans="2:7" x14ac:dyDescent="0.3">
      <c r="B29" s="26"/>
      <c r="G29" s="35"/>
    </row>
    <row r="30" spans="2:7" x14ac:dyDescent="0.3">
      <c r="B30" s="567" t="s">
        <v>773</v>
      </c>
      <c r="C30" s="524"/>
      <c r="D30" s="524"/>
      <c r="E30" s="524"/>
      <c r="G30" s="35"/>
    </row>
    <row r="31" spans="2:7" x14ac:dyDescent="0.3">
      <c r="B31" s="175" t="s">
        <v>774</v>
      </c>
      <c r="C31" s="12" t="s">
        <v>775</v>
      </c>
      <c r="D31" s="12" t="s">
        <v>655</v>
      </c>
      <c r="E31" s="12" t="s">
        <v>734</v>
      </c>
      <c r="G31" s="35"/>
    </row>
    <row r="32" spans="2:7" x14ac:dyDescent="0.3">
      <c r="B32" s="26" t="s">
        <v>302</v>
      </c>
      <c r="C32" t="str">
        <f>"AUM +"&amp;TEXT('KPIs &amp; Ratios'!H8,"0.0%")&amp;" YoY"</f>
        <v>AUM +69.4% YoY</v>
      </c>
      <c r="D32" s="172" t="str">
        <f>IF('KPIs &amp; Ratios'!H8&gt;0.2,"GREEN",IF('KPIs &amp; Ratios'!H8&gt;0.1,"YELLOW","RED"))</f>
        <v>GREEN</v>
      </c>
      <c r="E32" s="182" t="str">
        <f>IF(D32="GREEN","Maintain",IF(D32="YELLOW","Improve","Immediate Focus"))</f>
        <v>Maintain</v>
      </c>
      <c r="G32" s="35"/>
    </row>
    <row r="33" spans="2:7" x14ac:dyDescent="0.3">
      <c r="B33" s="26" t="s">
        <v>776</v>
      </c>
      <c r="C33" t="str">
        <f>"GNPA "&amp;TEXT('Business Performance Scorecard'!C192,"0.00%")</f>
        <v>GNPA 1.37%</v>
      </c>
      <c r="D33" s="172" t="str">
        <f>IF('Business Performance Scorecard'!C192&lt;0.013,"GREEN",IF('Business Performance Scorecard'!C192&lt;0.02,"YELLOW","RED"))</f>
        <v>YELLOW</v>
      </c>
      <c r="E33" s="182" t="str">
        <f>IF(D33="GREEN","Maintain",IF(D33="YELLOW","Improve","Immediate Focus"))</f>
        <v>Improve</v>
      </c>
      <c r="G33" s="35"/>
    </row>
    <row r="34" spans="2:7" x14ac:dyDescent="0.3">
      <c r="B34" s="26" t="s">
        <v>310</v>
      </c>
      <c r="C34" t="str">
        <f>"Cost of Borrowing "&amp;TEXT('Business Performance Scorecard'!C200,"0.00%")</f>
        <v>Cost of Borrowing 7.72%</v>
      </c>
      <c r="D34" s="172" t="str">
        <f>IF('Business Performance Scorecard'!C200&lt;0.07,"GREEN",IF('Business Performance Scorecard'!C200&lt;0.08,"YELLOW","RED"))</f>
        <v>YELLOW</v>
      </c>
      <c r="E34" s="182" t="str">
        <f>IF(D34="GREEN","Maintain",IF(D34="YELLOW","Improve","Immediate Focus"))</f>
        <v>Improve</v>
      </c>
      <c r="G34" s="35"/>
    </row>
    <row r="35" spans="2:7" x14ac:dyDescent="0.3">
      <c r="B35" s="26" t="s">
        <v>715</v>
      </c>
      <c r="C35" t="str">
        <f>"Avg. AUM/Branch ₹"&amp;TEXT('Branch Profitability'!F7,"0.0")&amp;" Cr"</f>
        <v>Avg. AUM/Branch ₹36.2 Cr</v>
      </c>
      <c r="D35" s="172" t="str">
        <f>IF('Branch Profitability'!F7&gt;'Branch Profitability'!E7*1.15,"GREEN",IF('Branch Profitability'!F7&gt;'Branch Profitability'!E7,"YELLOW","RED"))</f>
        <v>GREEN</v>
      </c>
      <c r="E35" s="182" t="str">
        <f>IF(D35="GREEN","Maintain",IF(D35="YELLOW","Improve","Immediate Focus"))</f>
        <v>Maintain</v>
      </c>
      <c r="G35" s="35"/>
    </row>
    <row r="36" spans="2:7" x14ac:dyDescent="0.3">
      <c r="B36" s="26" t="s">
        <v>777</v>
      </c>
      <c r="C36" t="str">
        <f>"Cost-to-Income "&amp;TEXT('KPIs &amp; Ratios'!H30*100,"0.0")&amp;"%"</f>
        <v>Cost-to-Income 52.0%</v>
      </c>
      <c r="D36" s="172" t="str">
        <f>IF('KPIs &amp; Ratios'!H30*100&lt;45,"GREEN",IF('KPIs &amp; Ratios'!H30*100&lt;55,"YELLOW","RED"))</f>
        <v>YELLOW</v>
      </c>
      <c r="E36" s="182" t="str">
        <f>IF(D36="GREEN","Maintain",IF(D36="YELLOW","Improve","Immediate Focus"))</f>
        <v>Improve</v>
      </c>
      <c r="G36" s="35"/>
    </row>
    <row r="37" spans="2:7" x14ac:dyDescent="0.3">
      <c r="B37" s="26" t="s">
        <v>778</v>
      </c>
      <c r="C37" t="str">
        <f>"DDP Share "&amp;TEXT('KPIs &amp; Ratios'!F76,"0.0%")&amp;" (last disclosed FY24)"</f>
        <v>DDP Share 82.0% (last disclosed FY24)</v>
      </c>
      <c r="D37" s="172" t="s">
        <v>779</v>
      </c>
      <c r="E37" s="182" t="str">
        <f>IF(D37="GREEN","Accelerate",IF(D37="YELLOW","Improve","Immediate Focus"))</f>
        <v>Accelerate</v>
      </c>
      <c r="G37" s="35"/>
    </row>
    <row r="38" spans="2:7" x14ac:dyDescent="0.3">
      <c r="B38" s="26"/>
      <c r="G38" s="35"/>
    </row>
    <row r="39" spans="2:7" x14ac:dyDescent="0.3">
      <c r="B39" s="567" t="str">
        <f>"5. FORECAST OUTLOOK ("&amp;'Scenario Analysis'!C5&amp;" Case)"</f>
        <v>5. FORECAST OUTLOOK (Base Case)</v>
      </c>
      <c r="C39" s="524"/>
      <c r="D39" s="524"/>
      <c r="E39" s="524"/>
      <c r="F39" s="524"/>
      <c r="G39" s="35"/>
    </row>
    <row r="40" spans="2:7" x14ac:dyDescent="0.3">
      <c r="B40" s="175" t="s">
        <v>780</v>
      </c>
      <c r="C40" s="12" t="s">
        <v>781</v>
      </c>
      <c r="D40" s="12" t="s">
        <v>637</v>
      </c>
      <c r="E40" s="12" t="s">
        <v>782</v>
      </c>
      <c r="F40" s="12" t="s">
        <v>783</v>
      </c>
      <c r="G40" s="35"/>
    </row>
    <row r="41" spans="2:7" ht="15.6" x14ac:dyDescent="0.3">
      <c r="B41" s="26" t="s">
        <v>465</v>
      </c>
      <c r="C41" s="99">
        <f>'Profit &amp; Loss'!H15</f>
        <v>6795.6500000000005</v>
      </c>
      <c r="D41" s="99">
        <f>'Profit &amp; Loss'!I15</f>
        <v>11250.408721499998</v>
      </c>
      <c r="E41" s="184" t="str">
        <f>IF(D41&gt;C41,"▲","▼")</f>
        <v>▲</v>
      </c>
      <c r="F41" t="s">
        <v>784</v>
      </c>
      <c r="G41" s="35"/>
    </row>
    <row r="42" spans="2:7" ht="15.6" x14ac:dyDescent="0.3">
      <c r="B42" s="26" t="s">
        <v>785</v>
      </c>
      <c r="C42" s="99">
        <f>'KPIs &amp; Ratios'!H35</f>
        <v>541.80999999999972</v>
      </c>
      <c r="D42" s="99">
        <f>'KPIs &amp; Ratios'!I35</f>
        <v>1781.8730524467937</v>
      </c>
      <c r="E42" s="184" t="str">
        <f>IF(D42&gt;C42,"▲","▼")</f>
        <v>▲</v>
      </c>
      <c r="F42" t="s">
        <v>786</v>
      </c>
      <c r="G42" s="35"/>
    </row>
    <row r="43" spans="2:7" ht="15.6" x14ac:dyDescent="0.3">
      <c r="B43" s="26" t="s">
        <v>749</v>
      </c>
      <c r="C43" s="181">
        <f>'KPIs &amp; Ratios'!H34*100</f>
        <v>5.8501638512327947</v>
      </c>
      <c r="D43" s="181">
        <f>'KPIs &amp; Ratios'!I34*100</f>
        <v>12.977668731445341</v>
      </c>
      <c r="E43" s="184" t="str">
        <f>IF(D43&gt;C43,"▲","▼")</f>
        <v>▲</v>
      </c>
      <c r="F43" t="s">
        <v>787</v>
      </c>
      <c r="G43" s="35"/>
    </row>
    <row r="44" spans="2:7" ht="15.6" x14ac:dyDescent="0.3">
      <c r="B44" s="26" t="s">
        <v>246</v>
      </c>
      <c r="C44" s="99">
        <f>'KPIs &amp; Ratios'!H49</f>
        <v>48098.299999999996</v>
      </c>
      <c r="D44" s="99">
        <f>'KPIs &amp; Ratios'!I49</f>
        <v>73402.76704284655</v>
      </c>
      <c r="E44" s="184" t="str">
        <f>IF(D44&gt;C44,"▲","▼")</f>
        <v>▲</v>
      </c>
      <c r="F44" t="s">
        <v>788</v>
      </c>
      <c r="G44" s="35"/>
    </row>
    <row r="45" spans="2:7" x14ac:dyDescent="0.3">
      <c r="B45" s="26"/>
      <c r="G45" s="35"/>
    </row>
    <row r="46" spans="2:7" x14ac:dyDescent="0.3">
      <c r="B46" s="567" t="s">
        <v>789</v>
      </c>
      <c r="C46" s="524"/>
      <c r="D46" s="524"/>
      <c r="E46" s="524"/>
      <c r="G46" s="35"/>
    </row>
    <row r="47" spans="2:7" x14ac:dyDescent="0.3">
      <c r="B47" s="175" t="s">
        <v>291</v>
      </c>
      <c r="C47" s="12" t="s">
        <v>790</v>
      </c>
      <c r="D47" s="12" t="s">
        <v>791</v>
      </c>
      <c r="E47" s="12" t="s">
        <v>792</v>
      </c>
      <c r="G47" s="35"/>
    </row>
    <row r="48" spans="2:7" ht="43.2" x14ac:dyDescent="0.3">
      <c r="B48" s="114" t="str">
        <f>'Value Creation Tracker'!C7</f>
        <v>Treasury diversification — higher NCD mix, longer tenor</v>
      </c>
      <c r="C48" t="s">
        <v>793</v>
      </c>
      <c r="D48" t="s">
        <v>794</v>
      </c>
      <c r="E48" s="173">
        <f>'Value Creation Tracker'!G7</f>
        <v>120</v>
      </c>
      <c r="G48" s="35"/>
    </row>
    <row r="49" spans="2:7" ht="43.2" x14ac:dyDescent="0.3">
      <c r="B49" s="114" t="str">
        <f>'Value Creation Tracker'!C5</f>
        <v>Branch productivity uplift (staggered gold-loan branch ramp-up)</v>
      </c>
      <c r="C49" t="s">
        <v>795</v>
      </c>
      <c r="D49" t="s">
        <v>796</v>
      </c>
      <c r="E49" s="173">
        <f>'Value Creation Tracker'!G5</f>
        <v>90</v>
      </c>
      <c r="G49" s="35"/>
    </row>
    <row r="50" spans="2:7" ht="43.2" x14ac:dyDescent="0.3">
      <c r="B50" s="114" t="str">
        <f>'Value Creation Tracker'!C8</f>
        <v>Predictive collections analytics for early-bucket flows</v>
      </c>
      <c r="C50" t="s">
        <v>797</v>
      </c>
      <c r="D50" t="s">
        <v>798</v>
      </c>
      <c r="E50" s="173">
        <f>'Value Creation Tracker'!G8</f>
        <v>60</v>
      </c>
      <c r="G50" s="35"/>
    </row>
    <row r="51" spans="2:7" ht="43.2" x14ac:dyDescent="0.3">
      <c r="B51" s="114" t="str">
        <f>'Value Creation Tracker'!C9</f>
        <v>Cross-sell to existing customer base via analytics-led targeting</v>
      </c>
      <c r="C51" t="s">
        <v>799</v>
      </c>
      <c r="D51" t="s">
        <v>800</v>
      </c>
      <c r="E51" s="173">
        <f>'Value Creation Tracker'!G9</f>
        <v>35</v>
      </c>
      <c r="G51" s="35"/>
    </row>
    <row r="52" spans="2:7" ht="43.2" x14ac:dyDescent="0.3">
      <c r="B52" s="114" t="s">
        <v>801</v>
      </c>
      <c r="C52" t="s">
        <v>802</v>
      </c>
      <c r="D52" t="s">
        <v>803</v>
      </c>
      <c r="E52" s="185" t="s">
        <v>619</v>
      </c>
      <c r="G52" s="35"/>
    </row>
    <row r="53" spans="2:7" x14ac:dyDescent="0.3">
      <c r="B53" s="26"/>
      <c r="G53" s="35"/>
    </row>
    <row r="54" spans="2:7" x14ac:dyDescent="0.3">
      <c r="B54" s="567" t="s">
        <v>804</v>
      </c>
      <c r="C54" s="524"/>
      <c r="D54" s="524"/>
      <c r="E54" s="524"/>
      <c r="F54" s="524"/>
      <c r="G54" s="35"/>
    </row>
    <row r="55" spans="2:7" ht="28.8" x14ac:dyDescent="0.3">
      <c r="B55" s="187" t="s">
        <v>805</v>
      </c>
      <c r="C55" s="179" t="s">
        <v>582</v>
      </c>
      <c r="D55" s="179" t="s">
        <v>1302</v>
      </c>
      <c r="E55" s="179" t="s">
        <v>806</v>
      </c>
      <c r="F55" s="179" t="s">
        <v>1303</v>
      </c>
      <c r="G55" s="35"/>
    </row>
    <row r="56" spans="2:7" x14ac:dyDescent="0.3">
      <c r="B56" s="26" t="str">
        <f>'Product Profitability'!B13</f>
        <v>Gold Loan</v>
      </c>
      <c r="C56" s="66">
        <f>'Product Profitability'!C13</f>
        <v>2.1525154106184132E-2</v>
      </c>
      <c r="D56" s="181">
        <f>'Product Profitability'!L13*100</f>
        <v>2.0555555555555545</v>
      </c>
      <c r="E56" s="181">
        <f>'Product Profitability'!H13*100</f>
        <v>0.4</v>
      </c>
      <c r="F56" s="172" t="str">
        <f>IF(AND(D56&gt;'Portfolio Mix'!$C$27*100,E56&lt;'Portfolio Mix'!$C$28*100),"Expand",IF(D56&gt;'Portfolio Mix'!$C$27*100,"Grow Selectively",IF(E56&gt;'Portfolio Mix'!$C$29*100,"Review","Maintain")))</f>
        <v>Maintain</v>
      </c>
      <c r="G56" s="35"/>
    </row>
    <row r="57" spans="2:7" x14ac:dyDescent="0.3">
      <c r="B57" s="26" t="str">
        <f>'Product Profitability'!B12</f>
        <v>Prime Personal Loan</v>
      </c>
      <c r="C57" s="66">
        <f>'Product Profitability'!C12</f>
        <v>7.9571816795917016E-2</v>
      </c>
      <c r="D57" s="181">
        <f>'Product Profitability'!L12*100</f>
        <v>3.4222222222222265</v>
      </c>
      <c r="E57" s="181">
        <f>'Product Profitability'!H12*100</f>
        <v>2</v>
      </c>
      <c r="F57" s="172" t="str">
        <f>IF(AND(D57&gt;'Portfolio Mix'!$C$27*100,E57&lt;'Portfolio Mix'!$C$28*100),"Expand",IF(D57&gt;'Portfolio Mix'!$C$27*100,"Grow Selectively",IF(E57&gt;'Portfolio Mix'!$C$29*100,"Review","Maintain")))</f>
        <v>Maintain</v>
      </c>
      <c r="G57" s="35"/>
    </row>
    <row r="58" spans="2:7" x14ac:dyDescent="0.3">
      <c r="B58" s="26" t="str">
        <f>'Product Profitability'!B8</f>
        <v>Loan Against Property (LAP)</v>
      </c>
      <c r="C58" s="66">
        <f>'Product Profitability'!C8</f>
        <v>0.28062239013720419</v>
      </c>
      <c r="D58" s="181">
        <f>'Product Profitability'!L8*100</f>
        <v>1.0740740740740777</v>
      </c>
      <c r="E58" s="181">
        <f>'Product Profitability'!H8*100</f>
        <v>1</v>
      </c>
      <c r="F58" s="172" t="str">
        <f>IF(AND(D58&gt;'Portfolio Mix'!$C$27*100,E58&lt;'Portfolio Mix'!$C$28*100),"Expand",IF(D58&gt;'Portfolio Mix'!$C$27*100,"Grow Selectively",IF(E58&gt;'Portfolio Mix'!$C$29*100,"Review","Maintain")))</f>
        <v>Maintain</v>
      </c>
      <c r="G58" s="35"/>
    </row>
    <row r="59" spans="2:7" x14ac:dyDescent="0.3">
      <c r="B59" s="26" t="str">
        <f>'Product Profitability'!B11</f>
        <v>Business Loan</v>
      </c>
      <c r="C59" s="66">
        <f>'Product Profitability'!C11</f>
        <v>0.12101478093723073</v>
      </c>
      <c r="D59" s="181">
        <f>'Product Profitability'!L11*100</f>
        <v>37.555555555555557</v>
      </c>
      <c r="E59" s="181">
        <f>'Product Profitability'!H11*100</f>
        <v>3.5000000000000004</v>
      </c>
      <c r="F59" s="172" t="str">
        <f>IF(AND(D59&gt;'Portfolio Mix'!$C$27*100,E59&lt;'Portfolio Mix'!$C$28*100),"Expand",IF(D59&gt;'Portfolio Mix'!$C$27*100,"Grow Selectively",IF(E59&gt;'Portfolio Mix'!$C$29*100,"Review","Maintain")))</f>
        <v>Grow Selectively</v>
      </c>
      <c r="G59" s="35"/>
    </row>
    <row r="60" spans="2:7" x14ac:dyDescent="0.3">
      <c r="B60" s="26"/>
      <c r="G60" s="35"/>
    </row>
    <row r="61" spans="2:7" x14ac:dyDescent="0.3">
      <c r="B61" s="567" t="s">
        <v>808</v>
      </c>
      <c r="C61" s="524"/>
      <c r="D61" s="524"/>
      <c r="E61" s="524"/>
      <c r="G61" s="35"/>
    </row>
    <row r="62" spans="2:7" x14ac:dyDescent="0.3">
      <c r="B62" s="175" t="s">
        <v>807</v>
      </c>
      <c r="C62" s="12" t="s">
        <v>297</v>
      </c>
      <c r="D62" s="12" t="s">
        <v>296</v>
      </c>
      <c r="E62" s="12" t="s">
        <v>809</v>
      </c>
      <c r="G62" s="35"/>
    </row>
    <row r="63" spans="2:7" x14ac:dyDescent="0.3">
      <c r="B63" s="114" t="s">
        <v>810</v>
      </c>
      <c r="C63" s="182" t="str">
        <f>'Value Creation Tracker'!I7</f>
        <v>Treasury</v>
      </c>
      <c r="D63" s="182" t="str">
        <f>'Value Creation Tracker'!H7</f>
        <v>12 months</v>
      </c>
      <c r="E63" t="s">
        <v>811</v>
      </c>
      <c r="G63" s="35"/>
    </row>
    <row r="64" spans="2:7" ht="28.8" x14ac:dyDescent="0.3">
      <c r="B64" s="114" t="s">
        <v>812</v>
      </c>
      <c r="C64" s="182" t="str">
        <f>'Value Creation Tracker'!I5</f>
        <v>Branch Operations</v>
      </c>
      <c r="D64" s="182" t="str">
        <f>'Value Creation Tracker'!H5</f>
        <v>6 months</v>
      </c>
      <c r="E64" t="s">
        <v>784</v>
      </c>
      <c r="G64" s="35"/>
    </row>
    <row r="65" spans="2:7" ht="28.8" x14ac:dyDescent="0.3">
      <c r="B65" s="114" t="s">
        <v>813</v>
      </c>
      <c r="C65" s="182" t="str">
        <f>'Value Creation Tracker'!I8</f>
        <v>Risk &amp; Collections</v>
      </c>
      <c r="D65" s="182" t="str">
        <f>'Value Creation Tracker'!H8</f>
        <v>9 months</v>
      </c>
      <c r="E65" t="s">
        <v>786</v>
      </c>
      <c r="G65" s="35"/>
    </row>
    <row r="66" spans="2:7" x14ac:dyDescent="0.3">
      <c r="B66" s="114" t="s">
        <v>814</v>
      </c>
      <c r="C66" s="182" t="str">
        <f>'Value Creation Tracker'!I5</f>
        <v>Branch Operations</v>
      </c>
      <c r="D66" s="182" t="str">
        <f>'Value Creation Tracker'!H5</f>
        <v>6 months</v>
      </c>
      <c r="E66" t="s">
        <v>815</v>
      </c>
      <c r="G66" s="35"/>
    </row>
    <row r="67" spans="2:7" x14ac:dyDescent="0.3">
      <c r="B67" s="26"/>
      <c r="G67" s="35"/>
    </row>
    <row r="68" spans="2:7" x14ac:dyDescent="0.3">
      <c r="B68" s="562" t="s">
        <v>816</v>
      </c>
      <c r="C68" s="555"/>
      <c r="G68" s="35"/>
    </row>
    <row r="69" spans="2:7" ht="19.95" customHeight="1" x14ac:dyDescent="0.3">
      <c r="B69" s="187" t="s">
        <v>302</v>
      </c>
      <c r="C69" s="186" t="str">
        <f>"AUM +"&amp;TEXT('KPIs &amp; Ratios'!H8,"0.0%")&amp;" YoY"</f>
        <v>AUM +69.4% YoY</v>
      </c>
      <c r="G69" s="35"/>
    </row>
    <row r="70" spans="2:7" x14ac:dyDescent="0.3">
      <c r="B70" s="188" t="s">
        <v>325</v>
      </c>
      <c r="C70" s="186"/>
      <c r="G70" s="35"/>
    </row>
    <row r="71" spans="2:7" ht="19.95" customHeight="1" x14ac:dyDescent="0.3">
      <c r="B71" s="177" t="s">
        <v>298</v>
      </c>
      <c r="C71" s="186" t="str">
        <f>"PAT ₹"&amp;TEXT('KPIs &amp; Ratios'!H35,"#,##0")&amp;" Cr"</f>
        <v>PAT ₹542 Cr</v>
      </c>
      <c r="G71" s="35"/>
    </row>
    <row r="72" spans="2:7" x14ac:dyDescent="0.3">
      <c r="B72" s="188" t="s">
        <v>325</v>
      </c>
      <c r="C72" s="186"/>
      <c r="G72" s="35"/>
    </row>
    <row r="73" spans="2:7" ht="19.95" customHeight="1" x14ac:dyDescent="0.3">
      <c r="B73" s="177" t="s">
        <v>385</v>
      </c>
      <c r="C73" s="186" t="str">
        <f>"Cost-to-Income "&amp;TEXT('KPIs &amp; Ratios'!H30*100,"0.0")&amp;"%"</f>
        <v>Cost-to-Income 52.0%</v>
      </c>
      <c r="G73" s="35"/>
    </row>
    <row r="74" spans="2:7" x14ac:dyDescent="0.3">
      <c r="B74" s="188" t="s">
        <v>325</v>
      </c>
      <c r="C74" s="186"/>
      <c r="G74" s="35"/>
    </row>
    <row r="75" spans="2:7" ht="19.95" customHeight="1" x14ac:dyDescent="0.3">
      <c r="B75" s="189" t="s">
        <v>311</v>
      </c>
      <c r="C75" s="186" t="str">
        <f>"GNPA "&amp;TEXT('Business Performance Scorecard'!C192,"0.00%")</f>
        <v>GNPA 1.37%</v>
      </c>
      <c r="G75" s="35"/>
    </row>
    <row r="76" spans="2:7" x14ac:dyDescent="0.3">
      <c r="B76" s="188" t="s">
        <v>325</v>
      </c>
      <c r="C76" s="186"/>
      <c r="G76" s="35"/>
    </row>
    <row r="77" spans="2:7" ht="19.95" customHeight="1" x14ac:dyDescent="0.3">
      <c r="B77" s="190" t="s">
        <v>817</v>
      </c>
      <c r="C77" s="186" t="str">
        <f>TEXT('KPIs &amp; Ratios'!H34*100,"0.00")&amp;"%"</f>
        <v>5.85%</v>
      </c>
      <c r="G77" s="35"/>
    </row>
    <row r="78" spans="2:7" x14ac:dyDescent="0.3">
      <c r="B78" s="188" t="s">
        <v>325</v>
      </c>
      <c r="C78" s="186"/>
      <c r="G78" s="35"/>
    </row>
    <row r="79" spans="2:7" ht="19.95" customHeight="1" x14ac:dyDescent="0.3">
      <c r="B79" s="190" t="s">
        <v>818</v>
      </c>
      <c r="C79" s="186" t="str">
        <f>"₹"&amp;TEXT('KPIs &amp; Ratios'!H64,"0.00")</f>
        <v>₹6.84</v>
      </c>
      <c r="G79" s="35"/>
    </row>
    <row r="80" spans="2:7" x14ac:dyDescent="0.3">
      <c r="B80" s="188" t="s">
        <v>325</v>
      </c>
      <c r="C80" s="186"/>
      <c r="G80" s="35"/>
    </row>
    <row r="81" spans="2:7" ht="19.95" customHeight="1" x14ac:dyDescent="0.3">
      <c r="B81" s="190" t="s">
        <v>819</v>
      </c>
      <c r="C81" s="186" t="str">
        <f>"₹"&amp;TEXT('KPIs &amp; Ratios'!H66,"0.00")</f>
        <v>₹128.08</v>
      </c>
      <c r="G81" s="35"/>
    </row>
    <row r="82" spans="2:7" x14ac:dyDescent="0.3">
      <c r="B82" s="188" t="s">
        <v>325</v>
      </c>
      <c r="G82" s="35"/>
    </row>
    <row r="83" spans="2:7" ht="19.95" customHeight="1" x14ac:dyDescent="0.3">
      <c r="B83" s="191" t="s">
        <v>820</v>
      </c>
      <c r="C83" s="24"/>
      <c r="D83" s="24"/>
      <c r="E83" s="24"/>
      <c r="F83" s="24"/>
      <c r="G83" s="109"/>
    </row>
  </sheetData>
  <mergeCells count="18">
    <mergeCell ref="D19:G19"/>
    <mergeCell ref="B1:G1"/>
    <mergeCell ref="B2:G2"/>
    <mergeCell ref="B4:G4"/>
    <mergeCell ref="B13:G13"/>
    <mergeCell ref="B14:G17"/>
    <mergeCell ref="B19:C19"/>
    <mergeCell ref="B68:C68"/>
    <mergeCell ref="B20:C20"/>
    <mergeCell ref="B22:C22"/>
    <mergeCell ref="B24:C24"/>
    <mergeCell ref="B26:C26"/>
    <mergeCell ref="B28:C28"/>
    <mergeCell ref="B30:E30"/>
    <mergeCell ref="B39:F39"/>
    <mergeCell ref="B46:E46"/>
    <mergeCell ref="B54:F54"/>
    <mergeCell ref="B61:E61"/>
  </mergeCells>
  <conditionalFormatting sqref="D32:D37">
    <cfRule type="containsText" dxfId="16" priority="4" operator="containsText" text="GREEN">
      <formula>NOT(ISERROR(SEARCH("GREEN",D32)))</formula>
    </cfRule>
    <cfRule type="containsText" dxfId="15" priority="5" operator="containsText" text="YELLOW">
      <formula>NOT(ISERROR(SEARCH("YELLOW",D32)))</formula>
    </cfRule>
    <cfRule type="containsText" dxfId="14" priority="6" operator="containsText" text="RED">
      <formula>NOT(ISERROR(SEARCH("RED",D32)))</formula>
    </cfRule>
  </conditionalFormatting>
  <conditionalFormatting sqref="G6:G11">
    <cfRule type="containsText" dxfId="13" priority="1" operator="containsText" text="GREEN">
      <formula>NOT(ISERROR(SEARCH("GREEN",G6)))</formula>
    </cfRule>
    <cfRule type="containsText" dxfId="12" priority="2" operator="containsText" text="YELLOW">
      <formula>NOT(ISERROR(SEARCH("YELLOW",G6)))</formula>
    </cfRule>
    <cfRule type="containsText" dxfId="11" priority="3" operator="containsText" text="RED">
      <formula>NOT(ISERROR(SEARCH("RED",G6)))</formula>
    </cfRule>
  </conditionalFormatting>
  <hyperlinks>
    <hyperlink ref="I1" location="Home!A1" tooltip="Back to Home / Index" display="⌂ Home" xr:uid="{ACD5BD1B-36B5-4C71-93A4-B57C7F42EB1D}"/>
  </hyperlinks>
  <pageMargins left="0.25" right="0.25" top="0.75" bottom="0.75" header="0.3" footer="0.3"/>
  <pageSetup scale="79" orientation="portrait" r:id="rId1"/>
  <rowBreaks count="1" manualBreakCount="1">
    <brk id="4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155D1-5FC4-4C59-8E8C-E59A8359C29D}">
  <sheetPr>
    <tabColor rgb="FFA9DFD8"/>
  </sheetPr>
  <dimension ref="B1:P245"/>
  <sheetViews>
    <sheetView showGridLines="0" zoomScaleNormal="100" workbookViewId="0">
      <selection activeCell="H13" sqref="H13"/>
    </sheetView>
  </sheetViews>
  <sheetFormatPr defaultRowHeight="14.4" x14ac:dyDescent="0.3"/>
  <cols>
    <col min="1" max="1" width="1.77734375" customWidth="1"/>
    <col min="2" max="2" width="48.109375" customWidth="1"/>
    <col min="3" max="6" width="16.33203125" customWidth="1"/>
    <col min="7" max="7" width="22.21875" customWidth="1"/>
    <col min="8" max="8" width="16.33203125" customWidth="1"/>
    <col min="9" max="9" width="8.88671875" customWidth="1"/>
    <col min="10" max="10" width="8.88671875" style="7" customWidth="1"/>
    <col min="11" max="12" width="8.88671875" style="7"/>
  </cols>
  <sheetData>
    <row r="1" spans="2:12" ht="28.05" customHeight="1" x14ac:dyDescent="0.3">
      <c r="B1" s="491" t="s">
        <v>628</v>
      </c>
      <c r="C1" s="492"/>
      <c r="D1" s="492"/>
      <c r="E1" s="492"/>
      <c r="F1" s="492"/>
      <c r="G1" s="492"/>
      <c r="H1" s="493"/>
      <c r="J1" s="269" t="s">
        <v>891</v>
      </c>
    </row>
    <row r="2" spans="2:12" ht="18" customHeight="1" x14ac:dyDescent="0.3">
      <c r="B2" s="494" t="s">
        <v>629</v>
      </c>
      <c r="C2" s="495"/>
      <c r="D2" s="495"/>
      <c r="E2" s="495"/>
      <c r="F2" s="495"/>
      <c r="G2" s="495"/>
      <c r="H2" s="496"/>
    </row>
    <row r="3" spans="2:12" s="297" customFormat="1" ht="34.799999999999997" customHeight="1" thickBot="1" x14ac:dyDescent="0.35">
      <c r="B3" s="497" t="str">
        <f>"VISUAL KPI TRENDS  —  bars run newest at top: FY31E → FY24 (bottom).  Teal = actuals FY24-26.  Green = "&amp;UPPER('Scenario Analysis'!C5)&amp;" case forecast FY27E-31E."</f>
        <v>VISUAL KPI TRENDS  —  bars run newest at top: FY31E → FY24 (bottom).  Teal = actuals FY24-26.  Green = BASE case forecast FY27E-31E.</v>
      </c>
      <c r="C3" s="497"/>
      <c r="D3" s="497"/>
      <c r="E3" s="497"/>
      <c r="F3" s="497"/>
      <c r="G3" s="497"/>
      <c r="H3" s="498"/>
      <c r="J3" s="298"/>
      <c r="K3" s="298"/>
      <c r="L3" s="298"/>
    </row>
    <row r="4" spans="2:12" ht="22.05" customHeight="1" thickTop="1" x14ac:dyDescent="0.3">
      <c r="B4" s="474" t="s">
        <v>569</v>
      </c>
      <c r="C4" s="486"/>
      <c r="D4" s="485" t="s">
        <v>571</v>
      </c>
      <c r="E4" s="486"/>
      <c r="F4" s="485" t="s">
        <v>572</v>
      </c>
      <c r="G4" s="475"/>
      <c r="H4" s="35"/>
    </row>
    <row r="5" spans="2:12" ht="16.05" customHeight="1" x14ac:dyDescent="0.3">
      <c r="B5" s="476" t="s">
        <v>630</v>
      </c>
      <c r="C5" s="488"/>
      <c r="D5" s="487" t="s">
        <v>570</v>
      </c>
      <c r="E5" s="488"/>
      <c r="F5" s="487" t="s">
        <v>573</v>
      </c>
      <c r="G5" s="477"/>
      <c r="H5" s="35"/>
    </row>
    <row r="6" spans="2:12" ht="15" customHeight="1" x14ac:dyDescent="0.3">
      <c r="B6" s="220"/>
      <c r="C6" s="221"/>
      <c r="D6" s="8"/>
      <c r="E6" s="221"/>
      <c r="F6" s="8"/>
      <c r="G6" s="9"/>
      <c r="H6" s="35"/>
    </row>
    <row r="7" spans="2:12" ht="15" customHeight="1" x14ac:dyDescent="0.3">
      <c r="B7" s="220"/>
      <c r="C7" s="221"/>
      <c r="D7" s="8"/>
      <c r="E7" s="221"/>
      <c r="F7" s="8"/>
      <c r="G7" s="9"/>
      <c r="H7" s="35"/>
    </row>
    <row r="8" spans="2:12" ht="15" customHeight="1" x14ac:dyDescent="0.3">
      <c r="B8" s="220"/>
      <c r="C8" s="221"/>
      <c r="D8" s="8"/>
      <c r="E8" s="221"/>
      <c r="F8" s="8"/>
      <c r="G8" s="9"/>
      <c r="H8" s="35"/>
    </row>
    <row r="9" spans="2:12" ht="15" customHeight="1" x14ac:dyDescent="0.3">
      <c r="B9" s="220"/>
      <c r="C9" s="221"/>
      <c r="D9" s="8"/>
      <c r="E9" s="221"/>
      <c r="F9" s="8"/>
      <c r="G9" s="9"/>
      <c r="H9" s="35"/>
    </row>
    <row r="10" spans="2:12" ht="15" customHeight="1" x14ac:dyDescent="0.3">
      <c r="B10" s="220"/>
      <c r="C10" s="221"/>
      <c r="D10" s="8"/>
      <c r="E10" s="221"/>
      <c r="F10" s="8"/>
      <c r="G10" s="9"/>
      <c r="H10" s="35"/>
    </row>
    <row r="11" spans="2:12" ht="15" customHeight="1" x14ac:dyDescent="0.3">
      <c r="B11" s="220"/>
      <c r="C11" s="221"/>
      <c r="D11" s="8"/>
      <c r="E11" s="221"/>
      <c r="F11" s="8"/>
      <c r="G11" s="9"/>
      <c r="H11" s="35"/>
    </row>
    <row r="12" spans="2:12" ht="15" customHeight="1" x14ac:dyDescent="0.3">
      <c r="B12" s="220"/>
      <c r="C12" s="221"/>
      <c r="D12" s="8"/>
      <c r="E12" s="221"/>
      <c r="F12" s="8"/>
      <c r="G12" s="9"/>
      <c r="H12" s="35"/>
    </row>
    <row r="13" spans="2:12" ht="15" customHeight="1" x14ac:dyDescent="0.3">
      <c r="B13" s="220"/>
      <c r="C13" s="221"/>
      <c r="D13" s="8"/>
      <c r="E13" s="221"/>
      <c r="F13" s="8"/>
      <c r="G13" s="9"/>
      <c r="H13" s="35"/>
    </row>
    <row r="14" spans="2:12" ht="15" customHeight="1" x14ac:dyDescent="0.3">
      <c r="B14" s="220"/>
      <c r="C14" s="221"/>
      <c r="D14" s="8"/>
      <c r="E14" s="221"/>
      <c r="F14" s="8"/>
      <c r="G14" s="9"/>
      <c r="H14" s="35"/>
    </row>
    <row r="15" spans="2:12" ht="15" customHeight="1" x14ac:dyDescent="0.3">
      <c r="B15" s="463" t="str">
        <f>"AUM reached ₹"&amp;TEXT('KPIs &amp; Ratios'!H95,"#,##0")&amp;" Cr in FY26 (+"&amp;TEXT('KPIs &amp; Ratios'!H8,"0.0%")&amp;" YoY) and is projected to scale further under the driver-based forecast, reaching ~₹"&amp;TEXT('KPIs &amp; Ratios'!M95/100000,"0.00")&amp;" lakh Cr by FY31E in the "&amp;'Scenario Analysis'!C5&amp;" Case."</f>
        <v>AUM reached ₹60,348 Cr in FY26 (+69.4% YoY) and is projected to scale further under the driver-based forecast, reaching ~₹2.46 lakh Cr by FY31E in the Base Case.</v>
      </c>
      <c r="C15" s="464"/>
      <c r="D15" s="489" t="s">
        <v>631</v>
      </c>
      <c r="E15" s="464"/>
      <c r="F15" s="489" t="s">
        <v>632</v>
      </c>
      <c r="G15" s="478"/>
      <c r="H15" s="35"/>
    </row>
    <row r="16" spans="2:12" ht="15" customHeight="1" x14ac:dyDescent="0.3">
      <c r="B16" s="463"/>
      <c r="C16" s="464"/>
      <c r="D16" s="489"/>
      <c r="E16" s="464"/>
      <c r="F16" s="489"/>
      <c r="G16" s="478"/>
      <c r="H16" s="35"/>
    </row>
    <row r="17" spans="2:8" ht="15" customHeight="1" x14ac:dyDescent="0.3">
      <c r="B17" s="463"/>
      <c r="C17" s="464"/>
      <c r="D17" s="489"/>
      <c r="E17" s="464"/>
      <c r="F17" s="489"/>
      <c r="G17" s="478"/>
      <c r="H17" s="35"/>
    </row>
    <row r="18" spans="2:8" ht="15" customHeight="1" x14ac:dyDescent="0.3">
      <c r="B18" s="463"/>
      <c r="C18" s="464"/>
      <c r="D18" s="489"/>
      <c r="E18" s="464"/>
      <c r="F18" s="489"/>
      <c r="G18" s="478"/>
      <c r="H18" s="35"/>
    </row>
    <row r="19" spans="2:8" ht="15" customHeight="1" x14ac:dyDescent="0.3">
      <c r="B19" s="463"/>
      <c r="C19" s="464"/>
      <c r="D19" s="489"/>
      <c r="E19" s="464"/>
      <c r="F19" s="489"/>
      <c r="G19" s="478"/>
      <c r="H19" s="35"/>
    </row>
    <row r="20" spans="2:8" ht="15" customHeight="1" x14ac:dyDescent="0.3">
      <c r="B20" s="463"/>
      <c r="C20" s="464"/>
      <c r="D20" s="489"/>
      <c r="E20" s="464"/>
      <c r="F20" s="489"/>
      <c r="G20" s="478"/>
      <c r="H20" s="35"/>
    </row>
    <row r="21" spans="2:8" ht="15" customHeight="1" x14ac:dyDescent="0.3">
      <c r="B21" s="463"/>
      <c r="C21" s="464"/>
      <c r="D21" s="489"/>
      <c r="E21" s="464"/>
      <c r="F21" s="489"/>
      <c r="G21" s="478"/>
      <c r="H21" s="35"/>
    </row>
    <row r="22" spans="2:8" ht="15" customHeight="1" x14ac:dyDescent="0.3">
      <c r="B22" s="479"/>
      <c r="C22" s="484"/>
      <c r="D22" s="490"/>
      <c r="E22" s="484"/>
      <c r="F22" s="490"/>
      <c r="G22" s="480"/>
      <c r="H22" s="35"/>
    </row>
    <row r="23" spans="2:8" ht="10.050000000000001" customHeight="1" thickBot="1" x14ac:dyDescent="0.35">
      <c r="B23" s="26"/>
      <c r="H23" s="35"/>
    </row>
    <row r="24" spans="2:8" ht="22.05" customHeight="1" thickTop="1" x14ac:dyDescent="0.3">
      <c r="B24" s="474" t="s">
        <v>574</v>
      </c>
      <c r="C24" s="486"/>
      <c r="D24" s="485" t="s">
        <v>575</v>
      </c>
      <c r="E24" s="486"/>
      <c r="F24" s="485" t="s">
        <v>644</v>
      </c>
      <c r="G24" s="475"/>
      <c r="H24" s="35"/>
    </row>
    <row r="25" spans="2:8" ht="16.05" customHeight="1" x14ac:dyDescent="0.3">
      <c r="B25" s="476" t="s">
        <v>573</v>
      </c>
      <c r="C25" s="488"/>
      <c r="D25" s="487" t="s">
        <v>570</v>
      </c>
      <c r="E25" s="488"/>
      <c r="F25" s="487" t="s">
        <v>570</v>
      </c>
      <c r="G25" s="477"/>
      <c r="H25" s="35"/>
    </row>
    <row r="26" spans="2:8" ht="15" customHeight="1" x14ac:dyDescent="0.3">
      <c r="B26" s="220"/>
      <c r="C26" s="221"/>
      <c r="D26" s="8"/>
      <c r="E26" s="221"/>
      <c r="F26" s="8"/>
      <c r="G26" s="9"/>
      <c r="H26" s="35"/>
    </row>
    <row r="27" spans="2:8" ht="15" customHeight="1" x14ac:dyDescent="0.3">
      <c r="B27" s="220"/>
      <c r="C27" s="221"/>
      <c r="D27" s="8"/>
      <c r="E27" s="221"/>
      <c r="F27" s="8"/>
      <c r="G27" s="9"/>
      <c r="H27" s="35"/>
    </row>
    <row r="28" spans="2:8" ht="15" customHeight="1" x14ac:dyDescent="0.3">
      <c r="B28" s="220"/>
      <c r="C28" s="221"/>
      <c r="D28" s="8"/>
      <c r="E28" s="221"/>
      <c r="F28" s="8"/>
      <c r="G28" s="9"/>
      <c r="H28" s="35"/>
    </row>
    <row r="29" spans="2:8" ht="15" customHeight="1" x14ac:dyDescent="0.3">
      <c r="B29" s="220"/>
      <c r="C29" s="221"/>
      <c r="D29" s="8"/>
      <c r="E29" s="221"/>
      <c r="F29" s="8"/>
      <c r="G29" s="9"/>
      <c r="H29" s="35"/>
    </row>
    <row r="30" spans="2:8" ht="15" customHeight="1" x14ac:dyDescent="0.3">
      <c r="B30" s="220"/>
      <c r="C30" s="221"/>
      <c r="D30" s="8"/>
      <c r="E30" s="221"/>
      <c r="F30" s="8"/>
      <c r="G30" s="9"/>
      <c r="H30" s="35"/>
    </row>
    <row r="31" spans="2:8" ht="15" customHeight="1" x14ac:dyDescent="0.3">
      <c r="B31" s="220"/>
      <c r="C31" s="221"/>
      <c r="D31" s="8"/>
      <c r="E31" s="221"/>
      <c r="F31" s="8"/>
      <c r="G31" s="9"/>
      <c r="H31" s="35"/>
    </row>
    <row r="32" spans="2:8" ht="15" customHeight="1" x14ac:dyDescent="0.3">
      <c r="B32" s="220"/>
      <c r="C32" s="221"/>
      <c r="D32" s="8"/>
      <c r="E32" s="221"/>
      <c r="F32" s="8"/>
      <c r="G32" s="9"/>
      <c r="H32" s="35"/>
    </row>
    <row r="33" spans="2:8" ht="15" customHeight="1" x14ac:dyDescent="0.3">
      <c r="B33" s="220"/>
      <c r="C33" s="221"/>
      <c r="D33" s="8"/>
      <c r="E33" s="221"/>
      <c r="F33" s="8"/>
      <c r="G33" s="9"/>
      <c r="H33" s="35"/>
    </row>
    <row r="34" spans="2:8" ht="15" customHeight="1" x14ac:dyDescent="0.3">
      <c r="B34" s="220"/>
      <c r="C34" s="221"/>
      <c r="D34" s="8"/>
      <c r="E34" s="221"/>
      <c r="F34" s="8"/>
      <c r="G34" s="9"/>
      <c r="H34" s="35"/>
    </row>
    <row r="35" spans="2:8" ht="15" customHeight="1" x14ac:dyDescent="0.3">
      <c r="B35" s="463" t="s">
        <v>633</v>
      </c>
      <c r="C35" s="464"/>
      <c r="D35" s="489" t="str">
        <f>"PAT (excl. exceptional items) recovered to ₹"&amp;TEXT('KPIs &amp; Ratios'!H35,"#,##0")&amp;" Cr in FY26. The "&amp;'Scenario Analysis'!C5&amp;" Case forecast projects PAT of ₹"&amp;TEXT('KPIs &amp; Ratios'!M35,"#,##0")&amp;" Cr by FY31E as credit costs normalise and scale benefits compound."</f>
        <v>PAT (excl. exceptional items) recovered to ₹542 Cr in FY26. The Base Case forecast projects PAT of ₹7,832 Cr by FY31E as credit costs normalise and scale benefits compound.</v>
      </c>
      <c r="E35" s="464"/>
      <c r="F35" s="489" t="s">
        <v>634</v>
      </c>
      <c r="G35" s="478"/>
      <c r="H35" s="35"/>
    </row>
    <row r="36" spans="2:8" ht="15" customHeight="1" x14ac:dyDescent="0.3">
      <c r="B36" s="463"/>
      <c r="C36" s="464"/>
      <c r="D36" s="489"/>
      <c r="E36" s="464"/>
      <c r="F36" s="489"/>
      <c r="G36" s="478"/>
      <c r="H36" s="35"/>
    </row>
    <row r="37" spans="2:8" ht="15" customHeight="1" x14ac:dyDescent="0.3">
      <c r="B37" s="463"/>
      <c r="C37" s="464"/>
      <c r="D37" s="489"/>
      <c r="E37" s="464"/>
      <c r="F37" s="489"/>
      <c r="G37" s="478"/>
      <c r="H37" s="35"/>
    </row>
    <row r="38" spans="2:8" ht="15" customHeight="1" x14ac:dyDescent="0.3">
      <c r="B38" s="463"/>
      <c r="C38" s="464"/>
      <c r="D38" s="489"/>
      <c r="E38" s="464"/>
      <c r="F38" s="489"/>
      <c r="G38" s="478"/>
      <c r="H38" s="35"/>
    </row>
    <row r="39" spans="2:8" ht="15" customHeight="1" x14ac:dyDescent="0.3">
      <c r="B39" s="463"/>
      <c r="C39" s="464"/>
      <c r="D39" s="489"/>
      <c r="E39" s="464"/>
      <c r="F39" s="489"/>
      <c r="G39" s="478"/>
      <c r="H39" s="35"/>
    </row>
    <row r="40" spans="2:8" ht="15" customHeight="1" x14ac:dyDescent="0.3">
      <c r="B40" s="463"/>
      <c r="C40" s="464"/>
      <c r="D40" s="489"/>
      <c r="E40" s="464"/>
      <c r="F40" s="489"/>
      <c r="G40" s="478"/>
      <c r="H40" s="35"/>
    </row>
    <row r="41" spans="2:8" ht="15" customHeight="1" x14ac:dyDescent="0.3">
      <c r="B41" s="463"/>
      <c r="C41" s="464"/>
      <c r="D41" s="489"/>
      <c r="E41" s="464"/>
      <c r="F41" s="489"/>
      <c r="G41" s="478"/>
      <c r="H41" s="35"/>
    </row>
    <row r="42" spans="2:8" ht="15" customHeight="1" x14ac:dyDescent="0.3">
      <c r="B42" s="479"/>
      <c r="C42" s="484"/>
      <c r="D42" s="490"/>
      <c r="E42" s="484"/>
      <c r="F42" s="490"/>
      <c r="G42" s="480"/>
      <c r="H42" s="35"/>
    </row>
    <row r="43" spans="2:8" ht="10.050000000000001" customHeight="1" thickBot="1" x14ac:dyDescent="0.35">
      <c r="B43" s="26"/>
      <c r="H43" s="35"/>
    </row>
    <row r="44" spans="2:8" ht="22.05" customHeight="1" thickTop="1" x14ac:dyDescent="0.3">
      <c r="B44" s="474" t="s">
        <v>576</v>
      </c>
      <c r="C44" s="486"/>
      <c r="D44" s="485" t="s">
        <v>577</v>
      </c>
      <c r="E44" s="486"/>
      <c r="F44" s="485" t="s">
        <v>578</v>
      </c>
      <c r="G44" s="475"/>
      <c r="H44" s="35"/>
    </row>
    <row r="45" spans="2:8" ht="16.05" customHeight="1" x14ac:dyDescent="0.3">
      <c r="B45" s="476" t="s">
        <v>573</v>
      </c>
      <c r="C45" s="488"/>
      <c r="D45" s="487" t="s">
        <v>573</v>
      </c>
      <c r="E45" s="488"/>
      <c r="F45" s="487" t="s">
        <v>570</v>
      </c>
      <c r="G45" s="477"/>
      <c r="H45" s="35"/>
    </row>
    <row r="46" spans="2:8" ht="15" customHeight="1" x14ac:dyDescent="0.3">
      <c r="B46" s="220"/>
      <c r="C46" s="221"/>
      <c r="D46" s="8"/>
      <c r="E46" s="221"/>
      <c r="F46" s="8"/>
      <c r="G46" s="9"/>
      <c r="H46" s="35"/>
    </row>
    <row r="47" spans="2:8" ht="15" customHeight="1" x14ac:dyDescent="0.3">
      <c r="B47" s="220"/>
      <c r="C47" s="221"/>
      <c r="D47" s="8"/>
      <c r="E47" s="221"/>
      <c r="F47" s="8"/>
      <c r="G47" s="9"/>
      <c r="H47" s="35"/>
    </row>
    <row r="48" spans="2:8" ht="15" customHeight="1" x14ac:dyDescent="0.3">
      <c r="B48" s="220"/>
      <c r="C48" s="221"/>
      <c r="D48" s="8"/>
      <c r="E48" s="221"/>
      <c r="F48" s="8"/>
      <c r="G48" s="9"/>
      <c r="H48" s="35"/>
    </row>
    <row r="49" spans="2:8" ht="15" customHeight="1" x14ac:dyDescent="0.3">
      <c r="B49" s="220"/>
      <c r="C49" s="221"/>
      <c r="D49" s="8"/>
      <c r="E49" s="221"/>
      <c r="F49" s="8"/>
      <c r="G49" s="9"/>
      <c r="H49" s="35"/>
    </row>
    <row r="50" spans="2:8" ht="15" customHeight="1" x14ac:dyDescent="0.3">
      <c r="B50" s="220"/>
      <c r="C50" s="221"/>
      <c r="D50" s="8"/>
      <c r="E50" s="221"/>
      <c r="F50" s="8"/>
      <c r="G50" s="9"/>
      <c r="H50" s="35"/>
    </row>
    <row r="51" spans="2:8" ht="15" customHeight="1" x14ac:dyDescent="0.3">
      <c r="B51" s="220"/>
      <c r="C51" s="221"/>
      <c r="D51" s="8"/>
      <c r="E51" s="221"/>
      <c r="F51" s="8"/>
      <c r="G51" s="9"/>
      <c r="H51" s="35"/>
    </row>
    <row r="52" spans="2:8" ht="15" customHeight="1" x14ac:dyDescent="0.3">
      <c r="B52" s="220"/>
      <c r="C52" s="221"/>
      <c r="D52" s="8"/>
      <c r="E52" s="221"/>
      <c r="F52" s="8"/>
      <c r="G52" s="9"/>
      <c r="H52" s="35"/>
    </row>
    <row r="53" spans="2:8" ht="15" customHeight="1" x14ac:dyDescent="0.3">
      <c r="B53" s="220"/>
      <c r="C53" s="221"/>
      <c r="D53" s="8"/>
      <c r="E53" s="221"/>
      <c r="F53" s="8"/>
      <c r="G53" s="9"/>
      <c r="H53" s="35"/>
    </row>
    <row r="54" spans="2:8" ht="15" customHeight="1" x14ac:dyDescent="0.3">
      <c r="B54" s="220"/>
      <c r="C54" s="221"/>
      <c r="D54" s="8"/>
      <c r="E54" s="221"/>
      <c r="F54" s="8"/>
      <c r="G54" s="9"/>
      <c r="H54" s="35"/>
    </row>
    <row r="55" spans="2:8" ht="15" customHeight="1" x14ac:dyDescent="0.3">
      <c r="B55" s="463" t="s">
        <v>635</v>
      </c>
      <c r="C55" s="464"/>
      <c r="D55" s="489" t="str">
        <f>"ROA improved to "&amp;TEXT('KPIs &amp; Ratios'!H33*100,"0.00")&amp;"% in FY26. The "&amp;'Scenario Analysis'!C5&amp;" Case reaches "&amp;TEXT('KPIs &amp; Ratios'!K33*100,"0.0")&amp;"% by FY29E — against management's stated 3.0-3.5% exit guidance (see KPIs &amp; Ratios guidance cross-check)."</f>
        <v>ROA improved to 1.14% in FY26. The Base Case reaches 3.0% by FY29E — against management's stated 3.0-3.5% exit guidance (see KPIs &amp; Ratios guidance cross-check).</v>
      </c>
      <c r="E55" s="464"/>
      <c r="F55" s="489" t="s">
        <v>636</v>
      </c>
      <c r="G55" s="478"/>
      <c r="H55" s="35"/>
    </row>
    <row r="56" spans="2:8" ht="15" customHeight="1" x14ac:dyDescent="0.3">
      <c r="B56" s="463"/>
      <c r="C56" s="464"/>
      <c r="D56" s="489"/>
      <c r="E56" s="464"/>
      <c r="F56" s="489"/>
      <c r="G56" s="478"/>
      <c r="H56" s="35"/>
    </row>
    <row r="57" spans="2:8" ht="15" customHeight="1" x14ac:dyDescent="0.3">
      <c r="B57" s="463"/>
      <c r="C57" s="464"/>
      <c r="D57" s="489"/>
      <c r="E57" s="464"/>
      <c r="F57" s="489"/>
      <c r="G57" s="478"/>
      <c r="H57" s="35"/>
    </row>
    <row r="58" spans="2:8" ht="15" customHeight="1" x14ac:dyDescent="0.3">
      <c r="B58" s="463"/>
      <c r="C58" s="464"/>
      <c r="D58" s="489"/>
      <c r="E58" s="464"/>
      <c r="F58" s="489"/>
      <c r="G58" s="478"/>
      <c r="H58" s="35"/>
    </row>
    <row r="59" spans="2:8" ht="15" customHeight="1" x14ac:dyDescent="0.3">
      <c r="B59" s="463"/>
      <c r="C59" s="464"/>
      <c r="D59" s="489"/>
      <c r="E59" s="464"/>
      <c r="F59" s="489"/>
      <c r="G59" s="478"/>
      <c r="H59" s="35"/>
    </row>
    <row r="60" spans="2:8" ht="15" customHeight="1" x14ac:dyDescent="0.3">
      <c r="B60" s="463"/>
      <c r="C60" s="464"/>
      <c r="D60" s="489"/>
      <c r="E60" s="464"/>
      <c r="F60" s="489"/>
      <c r="G60" s="478"/>
      <c r="H60" s="35"/>
    </row>
    <row r="61" spans="2:8" ht="15" customHeight="1" x14ac:dyDescent="0.3">
      <c r="B61" s="463"/>
      <c r="C61" s="464"/>
      <c r="D61" s="489"/>
      <c r="E61" s="464"/>
      <c r="F61" s="489"/>
      <c r="G61" s="478"/>
      <c r="H61" s="35"/>
    </row>
    <row r="62" spans="2:8" ht="15" customHeight="1" x14ac:dyDescent="0.3">
      <c r="B62" s="479"/>
      <c r="C62" s="484"/>
      <c r="D62" s="490"/>
      <c r="E62" s="484"/>
      <c r="F62" s="490"/>
      <c r="G62" s="480"/>
      <c r="H62" s="35"/>
    </row>
    <row r="63" spans="2:8" ht="10.050000000000001" customHeight="1" thickBot="1" x14ac:dyDescent="0.35">
      <c r="B63" s="26"/>
      <c r="H63" s="35"/>
    </row>
    <row r="64" spans="2:8" ht="22.05" customHeight="1" thickTop="1" x14ac:dyDescent="0.3">
      <c r="B64" s="474" t="s">
        <v>579</v>
      </c>
      <c r="C64" s="475"/>
      <c r="H64" s="35"/>
    </row>
    <row r="65" spans="2:8" ht="16.05" customHeight="1" x14ac:dyDescent="0.3">
      <c r="B65" s="476" t="s">
        <v>642</v>
      </c>
      <c r="C65" s="477"/>
      <c r="H65" s="35"/>
    </row>
    <row r="66" spans="2:8" ht="15" customHeight="1" x14ac:dyDescent="0.3">
      <c r="B66" s="220"/>
      <c r="C66" s="9"/>
      <c r="H66" s="35"/>
    </row>
    <row r="67" spans="2:8" ht="15" customHeight="1" x14ac:dyDescent="0.3">
      <c r="B67" s="220"/>
      <c r="C67" s="9"/>
      <c r="H67" s="35"/>
    </row>
    <row r="68" spans="2:8" ht="15" customHeight="1" x14ac:dyDescent="0.3">
      <c r="B68" s="220"/>
      <c r="C68" s="9"/>
      <c r="H68" s="35"/>
    </row>
    <row r="69" spans="2:8" ht="15" customHeight="1" x14ac:dyDescent="0.3">
      <c r="B69" s="220"/>
      <c r="C69" s="9"/>
      <c r="H69" s="35"/>
    </row>
    <row r="70" spans="2:8" ht="15" customHeight="1" x14ac:dyDescent="0.3">
      <c r="B70" s="220"/>
      <c r="C70" s="9"/>
      <c r="H70" s="35"/>
    </row>
    <row r="71" spans="2:8" ht="15" customHeight="1" x14ac:dyDescent="0.3">
      <c r="B71" s="220"/>
      <c r="C71" s="9"/>
      <c r="H71" s="35"/>
    </row>
    <row r="72" spans="2:8" ht="15" customHeight="1" x14ac:dyDescent="0.3">
      <c r="B72" s="220"/>
      <c r="C72" s="9"/>
      <c r="H72" s="35"/>
    </row>
    <row r="73" spans="2:8" ht="15" customHeight="1" x14ac:dyDescent="0.3">
      <c r="B73" s="220"/>
      <c r="C73" s="9"/>
      <c r="H73" s="35"/>
    </row>
    <row r="74" spans="2:8" ht="15" customHeight="1" x14ac:dyDescent="0.3">
      <c r="B74" s="220"/>
      <c r="C74" s="9"/>
      <c r="H74" s="35"/>
    </row>
    <row r="75" spans="2:8" ht="15" customHeight="1" x14ac:dyDescent="0.3">
      <c r="B75" s="463" t="s">
        <v>643</v>
      </c>
      <c r="C75" s="478"/>
      <c r="H75" s="35"/>
    </row>
    <row r="76" spans="2:8" ht="15" customHeight="1" x14ac:dyDescent="0.3">
      <c r="B76" s="463"/>
      <c r="C76" s="478"/>
      <c r="H76" s="35"/>
    </row>
    <row r="77" spans="2:8" ht="15" customHeight="1" x14ac:dyDescent="0.3">
      <c r="B77" s="463"/>
      <c r="C77" s="478"/>
      <c r="H77" s="35"/>
    </row>
    <row r="78" spans="2:8" ht="15" customHeight="1" x14ac:dyDescent="0.3">
      <c r="B78" s="463"/>
      <c r="C78" s="478"/>
      <c r="H78" s="35"/>
    </row>
    <row r="79" spans="2:8" ht="15" customHeight="1" x14ac:dyDescent="0.3">
      <c r="B79" s="463"/>
      <c r="C79" s="478"/>
      <c r="H79" s="35"/>
    </row>
    <row r="80" spans="2:8" ht="15" customHeight="1" x14ac:dyDescent="0.3">
      <c r="B80" s="463"/>
      <c r="C80" s="478"/>
      <c r="H80" s="35"/>
    </row>
    <row r="81" spans="2:8" ht="15" customHeight="1" x14ac:dyDescent="0.3">
      <c r="B81" s="463"/>
      <c r="C81" s="478"/>
      <c r="H81" s="35"/>
    </row>
    <row r="82" spans="2:8" ht="15" customHeight="1" x14ac:dyDescent="0.3">
      <c r="B82" s="479"/>
      <c r="C82" s="480"/>
      <c r="H82" s="35"/>
    </row>
    <row r="83" spans="2:8" ht="15" customHeight="1" x14ac:dyDescent="0.3">
      <c r="B83" s="202"/>
      <c r="C83" s="222"/>
      <c r="H83" s="35"/>
    </row>
    <row r="84" spans="2:8" ht="15" customHeight="1" x14ac:dyDescent="0.3">
      <c r="B84" s="481" t="s">
        <v>822</v>
      </c>
      <c r="C84" s="482"/>
      <c r="D84" s="482"/>
      <c r="E84" s="482"/>
      <c r="F84" s="482"/>
      <c r="G84" s="482"/>
      <c r="H84" s="483"/>
    </row>
    <row r="85" spans="2:8" ht="28.05" customHeight="1" x14ac:dyDescent="0.3">
      <c r="B85" s="471" t="str">
        <f>"What happened?  AUM grew "&amp;TEXT('KPIs &amp; Ratios'!H8,"0.0%")&amp;" YoY to ₹"&amp;TEXT('Business Performance Scorecard'!H161,"#,##0")&amp;" Cr, with PAT of ₹"&amp;TEXT('KPIs &amp; Ratios'!H35,"#,##0")&amp;" Cr in FY26, supported by strong secured lending momentum."</f>
        <v>What happened?  AUM grew 69.4% YoY to ₹60,348 Cr, with PAT of ₹542 Cr in FY26, supported by strong secured lending momentum.</v>
      </c>
      <c r="C85" s="464"/>
      <c r="D85" s="464"/>
      <c r="E85" s="464"/>
      <c r="F85" s="464"/>
      <c r="G85" s="464"/>
      <c r="H85" s="472"/>
    </row>
    <row r="86" spans="2:8" ht="28.05" customHeight="1" x14ac:dyDescent="0.3">
      <c r="B86" s="471" t="str">
        <f>"Why?  Disciplined underwriting held Gross NPA at "&amp;TEXT('Business Performance Scorecard'!C192,"0.00%")&amp;" (Q1 FY27), funding costs stayed manageable at "&amp;TEXT('Business Performance Scorecard'!C200,"0.00%")&amp;", and average earning assets scaled with the branch network."</f>
        <v>Why?  Disciplined underwriting held Gross NPA at 1.37% (Q1 FY27), funding costs stayed manageable at 7.72%, and average earning assets scaled with the branch network.</v>
      </c>
      <c r="C86" s="464"/>
      <c r="D86" s="464"/>
      <c r="E86" s="464"/>
      <c r="F86" s="464"/>
      <c r="G86" s="464"/>
      <c r="H86" s="472"/>
    </row>
    <row r="87" spans="2:8" ht="28.05" customHeight="1" x14ac:dyDescent="0.3">
      <c r="B87" s="471" t="str">
        <f>"What next?  Focus on funding cost optimisation, operating efficiency (Cost-to-Income at "&amp;TEXT('KPIs &amp; Ratios'!H30*100,"0.0")&amp;"%), and branch productivity to sustain ROE expansion toward the FY27E Base Case of "&amp;TEXT('KPIs &amp; Ratios'!I34*100,"0.0")&amp;"%."</f>
        <v>What next?  Focus on funding cost optimisation, operating efficiency (Cost-to-Income at 52.0%), and branch productivity to sustain ROE expansion toward the FY27E Base Case of 13.0%.</v>
      </c>
      <c r="C87" s="464"/>
      <c r="D87" s="464"/>
      <c r="E87" s="464"/>
      <c r="F87" s="464"/>
      <c r="G87" s="464"/>
      <c r="H87" s="472"/>
    </row>
    <row r="88" spans="2:8" ht="15" customHeight="1" x14ac:dyDescent="0.3">
      <c r="B88" s="202"/>
      <c r="C88" s="222"/>
      <c r="H88" s="35"/>
    </row>
    <row r="89" spans="2:8" ht="15" customHeight="1" x14ac:dyDescent="0.3">
      <c r="B89" s="202"/>
      <c r="C89" s="222"/>
      <c r="H89" s="35"/>
    </row>
    <row r="90" spans="2:8" ht="15" customHeight="1" x14ac:dyDescent="0.3">
      <c r="B90" s="466" t="s">
        <v>823</v>
      </c>
      <c r="C90" s="467"/>
      <c r="D90" s="467"/>
      <c r="E90" s="467"/>
      <c r="F90" s="467"/>
      <c r="G90" s="467"/>
      <c r="H90" s="473"/>
    </row>
    <row r="91" spans="2:8" ht="15" customHeight="1" x14ac:dyDescent="0.3">
      <c r="B91" s="203" t="s">
        <v>747</v>
      </c>
      <c r="C91" s="223" t="s">
        <v>292</v>
      </c>
      <c r="D91" s="179" t="s">
        <v>824</v>
      </c>
      <c r="E91" s="179" t="s">
        <v>825</v>
      </c>
      <c r="F91" s="179" t="s">
        <v>826</v>
      </c>
      <c r="G91" s="179" t="s">
        <v>744</v>
      </c>
      <c r="H91" s="192" t="s">
        <v>655</v>
      </c>
    </row>
    <row r="92" spans="2:8" ht="15" customHeight="1" x14ac:dyDescent="0.3">
      <c r="B92" s="202" t="s">
        <v>302</v>
      </c>
      <c r="C92" s="222" t="s">
        <v>267</v>
      </c>
      <c r="D92" s="99">
        <f>'Business Performance Scorecard'!H161</f>
        <v>60348</v>
      </c>
      <c r="E92" s="99">
        <f>'Business Drivers'!D21</f>
        <v>86376.468499999988</v>
      </c>
      <c r="F92" s="66">
        <f>'KPIs &amp; Ratios'!H8</f>
        <v>0.69369369369369371</v>
      </c>
      <c r="G92" s="183" t="str">
        <f>IF(F92&gt;0,"▲","▼")</f>
        <v>▲</v>
      </c>
      <c r="H92" s="193" t="str">
        <f>IF(F92&gt;0.2,"GREEN",IF(F92&gt;0.1,"YELLOW","RED"))</f>
        <v>GREEN</v>
      </c>
    </row>
    <row r="93" spans="2:8" ht="15" customHeight="1" x14ac:dyDescent="0.3">
      <c r="B93" s="202" t="s">
        <v>298</v>
      </c>
      <c r="C93" s="222" t="s">
        <v>827</v>
      </c>
      <c r="D93" s="181">
        <f>'Business Performance Scorecard'!C196*100</f>
        <v>1.9800000000000002</v>
      </c>
      <c r="E93" s="181">
        <f>'KPIs &amp; Ratios'!I33*100</f>
        <v>2.3208796673988936</v>
      </c>
      <c r="F93" s="224" t="s">
        <v>619</v>
      </c>
      <c r="G93" s="183" t="str">
        <f>IF(E93&gt;D93,"▲","▼")</f>
        <v>▲</v>
      </c>
      <c r="H93" s="193" t="str">
        <f>IF(D93&gt;2,"GREEN",IF(D93&gt;1,"YELLOW","RED"))</f>
        <v>YELLOW</v>
      </c>
    </row>
    <row r="94" spans="2:8" ht="15" customHeight="1" x14ac:dyDescent="0.3">
      <c r="B94" s="202" t="s">
        <v>311</v>
      </c>
      <c r="C94" s="222" t="s">
        <v>313</v>
      </c>
      <c r="D94" s="89">
        <f>'Business Performance Scorecard'!C192</f>
        <v>1.37E-2</v>
      </c>
      <c r="E94" s="89">
        <f>'Credit Cost Forecast'!D6</f>
        <v>1.35E-2</v>
      </c>
      <c r="F94" s="224" t="s">
        <v>619</v>
      </c>
      <c r="G94" s="183" t="str">
        <f>IF(D94&lt;0.0144,"▼","▲")</f>
        <v>▼</v>
      </c>
      <c r="H94" s="193" t="str">
        <f>IF(D94&lt;0.01,"GREEN",IF(D94&lt;0.02,"YELLOW","RED"))</f>
        <v>YELLOW</v>
      </c>
    </row>
    <row r="95" spans="2:8" ht="15" customHeight="1" x14ac:dyDescent="0.3">
      <c r="B95" s="202" t="s">
        <v>385</v>
      </c>
      <c r="C95" s="222" t="s">
        <v>750</v>
      </c>
      <c r="D95" s="181">
        <f>'KPIs &amp; Ratios'!H30*100</f>
        <v>52.009441595639586</v>
      </c>
      <c r="E95" s="181">
        <f>'KPIs &amp; Ratios'!I30*100</f>
        <v>41.033648497453321</v>
      </c>
      <c r="F95" s="224" t="s">
        <v>619</v>
      </c>
      <c r="G95" s="183" t="str">
        <f>IF(E95&lt;D95,"▲","▼")</f>
        <v>▲</v>
      </c>
      <c r="H95" s="193" t="str">
        <f>IF(D95&lt;45,"GREEN",IF(D95&lt;55,"YELLOW","RED"))</f>
        <v>YELLOW</v>
      </c>
    </row>
    <row r="96" spans="2:8" ht="15" customHeight="1" x14ac:dyDescent="0.3">
      <c r="B96" s="202" t="s">
        <v>751</v>
      </c>
      <c r="C96" s="222" t="s">
        <v>828</v>
      </c>
      <c r="D96" s="101">
        <f>'KPIs &amp; Ratios'!H54</f>
        <v>181</v>
      </c>
      <c r="E96" s="224" t="s">
        <v>821</v>
      </c>
      <c r="F96" s="224" t="s">
        <v>619</v>
      </c>
      <c r="G96" s="183" t="s">
        <v>752</v>
      </c>
      <c r="H96" s="193" t="str">
        <f>IF(D96&gt;150,"GREEN",IF(D96&gt;120,"YELLOW","RED"))</f>
        <v>GREEN</v>
      </c>
    </row>
    <row r="97" spans="2:8" ht="15" customHeight="1" x14ac:dyDescent="0.3">
      <c r="B97" s="202" t="s">
        <v>829</v>
      </c>
      <c r="C97" s="222" t="s">
        <v>749</v>
      </c>
      <c r="D97" s="181">
        <f>'KPIs &amp; Ratios'!H34*100</f>
        <v>5.8501638512327947</v>
      </c>
      <c r="E97" s="181">
        <f>'KPIs &amp; Ratios'!I34*100</f>
        <v>12.977668731445341</v>
      </c>
      <c r="F97" s="224" t="s">
        <v>619</v>
      </c>
      <c r="G97" s="183" t="str">
        <f>IF(E97&gt;D97,"▲","▼")</f>
        <v>▲</v>
      </c>
      <c r="H97" s="193" t="str">
        <f>IF(D97&gt;15,"GREEN",IF(D97&gt;8,"YELLOW","RED"))</f>
        <v>RED</v>
      </c>
    </row>
    <row r="98" spans="2:8" ht="15" customHeight="1" x14ac:dyDescent="0.3">
      <c r="B98" s="202"/>
      <c r="C98" s="222"/>
      <c r="H98" s="35"/>
    </row>
    <row r="99" spans="2:8" ht="15" customHeight="1" x14ac:dyDescent="0.3">
      <c r="B99" s="466" t="s">
        <v>830</v>
      </c>
      <c r="C99" s="467"/>
      <c r="D99" s="467"/>
      <c r="E99" s="467"/>
      <c r="F99" s="467"/>
      <c r="G99" s="467"/>
      <c r="H99" s="473"/>
    </row>
    <row r="100" spans="2:8" ht="15" customHeight="1" x14ac:dyDescent="0.3">
      <c r="B100" s="471" t="str">
        <f>"Business Performance: Growth remained strong, driven by secured lending expansion (AUM +"&amp;TEXT('KPIs &amp; Ratios'!H8,"0.0%")&amp;" YoY to ₹"&amp;TEXT('Business Performance Scorecard'!H161,"#,##0")&amp;" Cr), while asset quality was broadly maintained (GNPA "&amp;TEXT('Business Performance Scorecard'!C192,"0.00%")&amp;", Q1 FY27)."</f>
        <v>Business Performance: Growth remained strong, driven by secured lending expansion (AUM +69.4% YoY to ₹60,348 Cr), while asset quality was broadly maintained (GNPA 1.37%, Q1 FY27).</v>
      </c>
      <c r="C100" s="464"/>
      <c r="D100" s="464"/>
      <c r="E100" s="464"/>
      <c r="F100" s="464"/>
      <c r="G100" s="464"/>
      <c r="H100" s="472"/>
    </row>
    <row r="101" spans="2:8" ht="15" customHeight="1" x14ac:dyDescent="0.3">
      <c r="B101" s="463"/>
      <c r="C101" s="464"/>
      <c r="D101" s="464"/>
      <c r="E101" s="464"/>
      <c r="F101" s="464"/>
      <c r="G101" s="464"/>
      <c r="H101" s="472"/>
    </row>
    <row r="102" spans="2:8" ht="15" customHeight="1" x14ac:dyDescent="0.3">
      <c r="B102" s="463"/>
      <c r="C102" s="464"/>
      <c r="D102" s="464"/>
      <c r="E102" s="464"/>
      <c r="F102" s="464"/>
      <c r="G102" s="464"/>
      <c r="H102" s="472"/>
    </row>
    <row r="103" spans="2:8" ht="15" customHeight="1" x14ac:dyDescent="0.3">
      <c r="B103" s="471" t="str">
        <f>"Profitability: PAT reached ₹"&amp;TEXT('KPIs &amp; Ratios'!H35,"#,##0")&amp;" Cr in FY26, aided by higher NII and stable funding costs ("&amp;TEXT('Business Performance Scorecard'!C200,"0.00%")&amp;"). The primary management focus is now improving operating efficiency (Cost-to-Income "&amp;TEXT('KPIs &amp; Ratios'!H30*100,"0.0")&amp;"%) without compromising the growth trajectory."</f>
        <v>Profitability: PAT reached ₹542 Cr in FY26, aided by higher NII and stable funding costs (7.72%). The primary management focus is now improving operating efficiency (Cost-to-Income 52.0%) without compromising the growth trajectory.</v>
      </c>
      <c r="C103" s="464"/>
      <c r="D103" s="464"/>
      <c r="E103" s="464"/>
      <c r="F103" s="464"/>
      <c r="G103" s="464"/>
      <c r="H103" s="472"/>
    </row>
    <row r="104" spans="2:8" ht="15" customHeight="1" x14ac:dyDescent="0.3">
      <c r="B104" s="463"/>
      <c r="C104" s="464"/>
      <c r="D104" s="464"/>
      <c r="E104" s="464"/>
      <c r="F104" s="464"/>
      <c r="G104" s="464"/>
      <c r="H104" s="472"/>
    </row>
    <row r="105" spans="2:8" ht="15" customHeight="1" x14ac:dyDescent="0.3">
      <c r="B105" s="463"/>
      <c r="C105" s="464"/>
      <c r="D105" s="464"/>
      <c r="E105" s="464"/>
      <c r="F105" s="464"/>
      <c r="G105" s="464"/>
      <c r="H105" s="472"/>
    </row>
    <row r="106" spans="2:8" ht="15" customHeight="1" x14ac:dyDescent="0.3">
      <c r="B106" s="471" t="str">
        <f>"Outlook: The Base Case forecast projects PAT scaling to ₹"&amp;TEXT('KPIs &amp; Ratios'!I35,"#,##0")&amp;" Cr by FY27E as credit costs normalise and branch productivity improves — with ₹"&amp;TEXT('Value Creation Tracker'!G10,"#,##0")&amp;" Cr of identified value-creation impact already quantified across five initiatives (see Value Creation section below)."</f>
        <v>Outlook: The Base Case forecast projects PAT scaling to ₹1,782 Cr by FY27E as credit costs normalise and branch productivity improves — with ₹350 Cr of identified value-creation impact already quantified across five initiatives (see Value Creation section below).</v>
      </c>
      <c r="C106" s="464"/>
      <c r="D106" s="464"/>
      <c r="E106" s="464"/>
      <c r="F106" s="464"/>
      <c r="G106" s="464"/>
      <c r="H106" s="472"/>
    </row>
    <row r="107" spans="2:8" ht="15" customHeight="1" x14ac:dyDescent="0.3">
      <c r="B107" s="463"/>
      <c r="C107" s="464"/>
      <c r="D107" s="464"/>
      <c r="E107" s="464"/>
      <c r="F107" s="464"/>
      <c r="G107" s="464"/>
      <c r="H107" s="472"/>
    </row>
    <row r="108" spans="2:8" ht="15" customHeight="1" x14ac:dyDescent="0.3">
      <c r="B108" s="463"/>
      <c r="C108" s="464"/>
      <c r="D108" s="464"/>
      <c r="E108" s="464"/>
      <c r="F108" s="464"/>
      <c r="G108" s="464"/>
      <c r="H108" s="472"/>
    </row>
    <row r="109" spans="2:8" ht="15" customHeight="1" x14ac:dyDescent="0.3">
      <c r="B109" s="202"/>
      <c r="C109" s="222"/>
      <c r="H109" s="35"/>
    </row>
    <row r="110" spans="2:8" ht="15" customHeight="1" x14ac:dyDescent="0.3">
      <c r="B110" s="466" t="s">
        <v>831</v>
      </c>
      <c r="C110" s="467"/>
      <c r="D110" s="467"/>
      <c r="E110" s="467"/>
      <c r="F110" s="467"/>
      <c r="G110" s="467"/>
      <c r="H110" s="473"/>
    </row>
    <row r="111" spans="2:8" ht="22.05" customHeight="1" x14ac:dyDescent="0.3">
      <c r="B111" s="499" t="s">
        <v>832</v>
      </c>
      <c r="C111" s="500"/>
      <c r="H111" s="35"/>
    </row>
    <row r="112" spans="2:8" ht="15" customHeight="1" x14ac:dyDescent="0.3">
      <c r="B112" s="202"/>
      <c r="C112" s="222"/>
      <c r="D112" s="12" t="s">
        <v>764</v>
      </c>
      <c r="E112" s="12" t="s">
        <v>655</v>
      </c>
      <c r="F112" s="12" t="s">
        <v>766</v>
      </c>
      <c r="H112" s="35"/>
    </row>
    <row r="113" spans="2:8" ht="15" customHeight="1" x14ac:dyDescent="0.3">
      <c r="B113" s="202"/>
      <c r="C113" s="222"/>
      <c r="D113" t="s">
        <v>758</v>
      </c>
      <c r="E113" s="172" t="str">
        <f>IF('Business Drivers'!C9&gt;'Customer Analytics'!G5,"GREEN","YELLOW")</f>
        <v>GREEN</v>
      </c>
      <c r="F113" s="182" t="s">
        <v>768</v>
      </c>
      <c r="H113" s="35"/>
    </row>
    <row r="114" spans="2:8" ht="15" customHeight="1" x14ac:dyDescent="0.3">
      <c r="B114" s="202"/>
      <c r="C114" s="222"/>
      <c r="D114" t="s">
        <v>833</v>
      </c>
      <c r="E114" s="172" t="str">
        <f>IF('KPIs &amp; Ratios'!H25&gt;'KPIs &amp; Ratios'!G25,"GREEN","YELLOW")</f>
        <v>YELLOW</v>
      </c>
      <c r="F114" s="182" t="s">
        <v>768</v>
      </c>
      <c r="H114" s="35"/>
    </row>
    <row r="115" spans="2:8" ht="15" customHeight="1" x14ac:dyDescent="0.3">
      <c r="B115" s="202"/>
      <c r="C115" s="222"/>
      <c r="D115" t="s">
        <v>834</v>
      </c>
      <c r="E115" s="172" t="str">
        <f>IF('KPIs &amp; Ratios'!H43&lt;'KPIs &amp; Ratios'!G43,"GREEN","YELLOW")</f>
        <v>GREEN</v>
      </c>
      <c r="F115" s="182" t="s">
        <v>768</v>
      </c>
      <c r="H115" s="35"/>
    </row>
    <row r="116" spans="2:8" ht="15" customHeight="1" x14ac:dyDescent="0.3">
      <c r="B116" s="202"/>
      <c r="C116" s="222"/>
      <c r="D116" t="s">
        <v>835</v>
      </c>
      <c r="E116" s="172" t="str">
        <f>IF('KPIs &amp; Ratios'!H30&lt;'KPIs &amp; Ratios'!G30,"GREEN","YELLOW")</f>
        <v>YELLOW</v>
      </c>
      <c r="F116" s="182" t="s">
        <v>771</v>
      </c>
      <c r="H116" s="35"/>
    </row>
    <row r="117" spans="2:8" ht="15" customHeight="1" x14ac:dyDescent="0.3">
      <c r="B117" s="202"/>
      <c r="C117" s="222"/>
      <c r="D117" t="s">
        <v>836</v>
      </c>
      <c r="E117" s="172" t="str">
        <f>IF('KPIs &amp; Ratios'!H26&lt;'KPIs &amp; Ratios'!G26,"GREEN","YELLOW")</f>
        <v>YELLOW</v>
      </c>
      <c r="F117" s="182" t="s">
        <v>771</v>
      </c>
      <c r="H117" s="35"/>
    </row>
    <row r="118" spans="2:8" ht="15" customHeight="1" x14ac:dyDescent="0.3">
      <c r="B118" s="202"/>
      <c r="C118" s="222"/>
      <c r="H118" s="35"/>
    </row>
    <row r="119" spans="2:8" ht="15" customHeight="1" x14ac:dyDescent="0.3">
      <c r="B119" s="466" t="s">
        <v>837</v>
      </c>
      <c r="C119" s="467"/>
      <c r="D119" s="467"/>
      <c r="E119" s="467"/>
      <c r="F119" s="467"/>
      <c r="G119" s="467"/>
      <c r="H119" s="473"/>
    </row>
    <row r="120" spans="2:8" ht="15" customHeight="1" x14ac:dyDescent="0.3">
      <c r="B120" s="468" t="s">
        <v>838</v>
      </c>
      <c r="C120" s="469"/>
      <c r="D120" s="470" t="s">
        <v>839</v>
      </c>
      <c r="E120" s="470"/>
      <c r="F120" s="470" t="s">
        <v>840</v>
      </c>
      <c r="G120" s="470"/>
      <c r="H120" s="504"/>
    </row>
    <row r="121" spans="2:8" ht="30" customHeight="1" x14ac:dyDescent="0.3">
      <c r="B121" s="463" t="s">
        <v>841</v>
      </c>
      <c r="C121" s="464"/>
      <c r="D121" s="501" t="str">
        <f>'Value Creation Tracker'!C7</f>
        <v>Treasury diversification — higher NCD mix, longer tenor</v>
      </c>
      <c r="E121" s="465"/>
      <c r="F121" s="502" t="s">
        <v>811</v>
      </c>
      <c r="G121" s="502"/>
      <c r="H121" s="503"/>
    </row>
    <row r="122" spans="2:8" ht="30" customHeight="1" x14ac:dyDescent="0.3">
      <c r="B122" s="463" t="s">
        <v>842</v>
      </c>
      <c r="C122" s="464"/>
      <c r="D122" s="501" t="s">
        <v>843</v>
      </c>
      <c r="E122" s="465"/>
      <c r="F122" s="502" t="s">
        <v>784</v>
      </c>
      <c r="G122" s="502"/>
      <c r="H122" s="503"/>
    </row>
    <row r="123" spans="2:8" ht="30" customHeight="1" x14ac:dyDescent="0.3">
      <c r="B123" s="463" t="s">
        <v>844</v>
      </c>
      <c r="C123" s="464"/>
      <c r="D123" s="501" t="str">
        <f>'Value Creation Tracker'!C5</f>
        <v>Branch productivity uplift (staggered gold-loan branch ramp-up)</v>
      </c>
      <c r="E123" s="465"/>
      <c r="F123" s="502" t="s">
        <v>815</v>
      </c>
      <c r="G123" s="502"/>
      <c r="H123" s="503"/>
    </row>
    <row r="124" spans="2:8" ht="30" customHeight="1" x14ac:dyDescent="0.3">
      <c r="B124" s="463" t="s">
        <v>845</v>
      </c>
      <c r="C124" s="464"/>
      <c r="D124" s="501" t="s">
        <v>846</v>
      </c>
      <c r="E124" s="465"/>
      <c r="F124" s="502" t="s">
        <v>847</v>
      </c>
      <c r="G124" s="502"/>
      <c r="H124" s="503"/>
    </row>
    <row r="125" spans="2:8" ht="15" customHeight="1" x14ac:dyDescent="0.3">
      <c r="B125" s="202"/>
      <c r="C125" s="222"/>
      <c r="H125" s="35"/>
    </row>
    <row r="126" spans="2:8" ht="15" customHeight="1" x14ac:dyDescent="0.3">
      <c r="B126" s="202"/>
      <c r="C126" s="222"/>
      <c r="H126" s="35"/>
    </row>
    <row r="127" spans="2:8" ht="15" customHeight="1" x14ac:dyDescent="0.3">
      <c r="B127" s="466" t="str">
        <f>"FORECAST OUTLOOK ("&amp;'Scenario Analysis'!C5&amp;" Case)"</f>
        <v>FORECAST OUTLOOK (Base Case)</v>
      </c>
      <c r="C127" s="467"/>
      <c r="D127" s="467"/>
      <c r="E127" s="467"/>
      <c r="F127" s="467"/>
      <c r="H127" s="35"/>
    </row>
    <row r="128" spans="2:8" ht="15" customHeight="1" x14ac:dyDescent="0.3">
      <c r="B128" s="203" t="s">
        <v>780</v>
      </c>
      <c r="C128" s="223" t="s">
        <v>781</v>
      </c>
      <c r="D128" s="12" t="s">
        <v>637</v>
      </c>
      <c r="E128" s="12" t="s">
        <v>638</v>
      </c>
      <c r="F128" s="12" t="s">
        <v>744</v>
      </c>
      <c r="H128" s="35"/>
    </row>
    <row r="129" spans="2:8" ht="15" customHeight="1" x14ac:dyDescent="0.3">
      <c r="B129" s="202" t="s">
        <v>848</v>
      </c>
      <c r="C129" s="225">
        <f>'Profit &amp; Loss'!H15</f>
        <v>6795.6500000000005</v>
      </c>
      <c r="D129" s="99">
        <f>'Profit &amp; Loss'!I15</f>
        <v>11250.408721499998</v>
      </c>
      <c r="E129" s="99">
        <f>'Profit &amp; Loss'!J15</f>
        <v>15954.192236412498</v>
      </c>
      <c r="F129" s="184" t="str">
        <f>IF(E129&gt;C129,"▲","▼")</f>
        <v>▲</v>
      </c>
      <c r="H129" s="35"/>
    </row>
    <row r="130" spans="2:8" ht="15" customHeight="1" x14ac:dyDescent="0.3">
      <c r="B130" s="202" t="s">
        <v>785</v>
      </c>
      <c r="C130" s="225">
        <f>'KPIs &amp; Ratios'!H35</f>
        <v>541.80999999999972</v>
      </c>
      <c r="D130" s="99">
        <f>'KPIs &amp; Ratios'!I35</f>
        <v>1781.8730524467937</v>
      </c>
      <c r="E130" s="99">
        <f>'KPIs &amp; Ratios'!J35</f>
        <v>3117.5046289059546</v>
      </c>
      <c r="F130" s="184" t="str">
        <f>IF(E130&gt;C130,"▲","▼")</f>
        <v>▲</v>
      </c>
      <c r="H130" s="35"/>
    </row>
    <row r="131" spans="2:8" ht="15" customHeight="1" x14ac:dyDescent="0.3">
      <c r="B131" s="202" t="s">
        <v>849</v>
      </c>
      <c r="C131" s="226">
        <f>'KPIs &amp; Ratios'!H34*100</f>
        <v>5.8501638512327947</v>
      </c>
      <c r="D131" s="181">
        <f>'KPIs &amp; Ratios'!I34*100</f>
        <v>12.977668731445341</v>
      </c>
      <c r="E131" s="181">
        <f>'KPIs &amp; Ratios'!J34*100</f>
        <v>14.978736982905543</v>
      </c>
      <c r="F131" s="184" t="str">
        <f>IF(E131&gt;C131,"▲","▼")</f>
        <v>▲</v>
      </c>
      <c r="H131" s="35"/>
    </row>
    <row r="132" spans="2:8" ht="15" customHeight="1" x14ac:dyDescent="0.3">
      <c r="B132" s="202" t="s">
        <v>850</v>
      </c>
      <c r="C132" s="225">
        <f>'KPIs &amp; Ratios'!H49</f>
        <v>48098.299999999996</v>
      </c>
      <c r="D132" s="99">
        <f>'KPIs &amp; Ratios'!I49</f>
        <v>73402.76704284655</v>
      </c>
      <c r="E132" s="99">
        <f>'KPIs &amp; Ratios'!J49</f>
        <v>101898.66571889725</v>
      </c>
      <c r="F132" s="184" t="str">
        <f>IF(E132&gt;C132,"▲","▼")</f>
        <v>▲</v>
      </c>
      <c r="H132" s="35"/>
    </row>
    <row r="133" spans="2:8" ht="15" customHeight="1" x14ac:dyDescent="0.3">
      <c r="B133" s="202" t="s">
        <v>772</v>
      </c>
      <c r="C133" s="226">
        <f>'KPIs &amp; Ratios'!H43*100</f>
        <v>2.4910867835090977</v>
      </c>
      <c r="D133" s="181">
        <f>'KPIs &amp; Ratios'!I43*100</f>
        <v>2.1999999999999997</v>
      </c>
      <c r="E133" s="181">
        <f>'KPIs &amp; Ratios'!J43*100</f>
        <v>1.9</v>
      </c>
      <c r="F133" s="184" t="str">
        <f>IF(E133&lt;C133,"▼","▲")</f>
        <v>▼</v>
      </c>
      <c r="H133" s="35"/>
    </row>
    <row r="134" spans="2:8" ht="15" customHeight="1" x14ac:dyDescent="0.3">
      <c r="B134" s="202"/>
      <c r="C134" s="222"/>
      <c r="H134" s="35"/>
    </row>
    <row r="135" spans="2:8" ht="15" customHeight="1" x14ac:dyDescent="0.3">
      <c r="B135" s="466" t="s">
        <v>851</v>
      </c>
      <c r="C135" s="467"/>
      <c r="D135" s="467"/>
      <c r="E135" s="467"/>
      <c r="F135" s="467"/>
      <c r="G135" s="467"/>
      <c r="H135" s="35"/>
    </row>
    <row r="136" spans="2:8" ht="15" customHeight="1" x14ac:dyDescent="0.3">
      <c r="B136" s="468" t="s">
        <v>291</v>
      </c>
      <c r="C136" s="469"/>
      <c r="D136" s="470" t="s">
        <v>656</v>
      </c>
      <c r="E136" s="470"/>
      <c r="F136" s="12" t="s">
        <v>790</v>
      </c>
      <c r="G136" s="12" t="s">
        <v>792</v>
      </c>
      <c r="H136" s="35"/>
    </row>
    <row r="137" spans="2:8" x14ac:dyDescent="0.3">
      <c r="B137" s="463" t="str">
        <f>'Value Creation Tracker'!C7</f>
        <v>Treasury diversification — higher NCD mix, longer tenor</v>
      </c>
      <c r="C137" s="464"/>
      <c r="D137" s="465" t="s">
        <v>852</v>
      </c>
      <c r="E137" s="465"/>
      <c r="F137" t="s">
        <v>793</v>
      </c>
      <c r="G137" s="173">
        <f>'Value Creation Tracker'!G7</f>
        <v>120</v>
      </c>
      <c r="H137" s="35"/>
    </row>
    <row r="138" spans="2:8" x14ac:dyDescent="0.3">
      <c r="B138" s="463" t="str">
        <f>'Value Creation Tracker'!C8</f>
        <v>Predictive collections analytics for early-bucket flows</v>
      </c>
      <c r="C138" s="464"/>
      <c r="D138" s="465" t="s">
        <v>853</v>
      </c>
      <c r="E138" s="465"/>
      <c r="F138" t="s">
        <v>797</v>
      </c>
      <c r="G138" s="173">
        <f>'Value Creation Tracker'!G8</f>
        <v>60</v>
      </c>
      <c r="H138" s="35"/>
    </row>
    <row r="139" spans="2:8" x14ac:dyDescent="0.3">
      <c r="B139" s="463" t="str">
        <f>'Value Creation Tracker'!C5</f>
        <v>Branch productivity uplift (staggered gold-loan branch ramp-up)</v>
      </c>
      <c r="C139" s="464"/>
      <c r="D139" s="465" t="s">
        <v>854</v>
      </c>
      <c r="E139" s="465"/>
      <c r="F139" t="s">
        <v>795</v>
      </c>
      <c r="G139" s="173">
        <f>'Value Creation Tracker'!G5</f>
        <v>90</v>
      </c>
      <c r="H139" s="35"/>
    </row>
    <row r="140" spans="2:8" x14ac:dyDescent="0.3">
      <c r="B140" s="463" t="str">
        <f>'Value Creation Tracker'!C6</f>
        <v>Digital/DSA channel mix optimisation to lower CAC</v>
      </c>
      <c r="C140" s="464"/>
      <c r="D140" s="465" t="s">
        <v>855</v>
      </c>
      <c r="E140" s="465"/>
      <c r="F140" t="s">
        <v>856</v>
      </c>
      <c r="G140" s="173">
        <f>'Value Creation Tracker'!G6</f>
        <v>45</v>
      </c>
      <c r="H140" s="35"/>
    </row>
    <row r="141" spans="2:8" x14ac:dyDescent="0.3">
      <c r="B141" s="463" t="str">
        <f>'Value Creation Tracker'!C9</f>
        <v>Cross-sell to existing customer base via analytics-led targeting</v>
      </c>
      <c r="C141" s="464"/>
      <c r="D141" s="465" t="s">
        <v>857</v>
      </c>
      <c r="E141" s="465"/>
      <c r="F141" t="s">
        <v>796</v>
      </c>
      <c r="G141" s="173">
        <f>'Value Creation Tracker'!G9</f>
        <v>35</v>
      </c>
      <c r="H141" s="35"/>
    </row>
    <row r="142" spans="2:8" ht="15" customHeight="1" x14ac:dyDescent="0.3">
      <c r="B142" s="202"/>
      <c r="C142" s="222"/>
      <c r="H142" s="35"/>
    </row>
    <row r="143" spans="2:8" ht="15" customHeight="1" x14ac:dyDescent="0.3">
      <c r="B143" s="202"/>
      <c r="C143" s="222"/>
      <c r="H143" s="35"/>
    </row>
    <row r="144" spans="2:8" ht="15" customHeight="1" x14ac:dyDescent="0.3">
      <c r="B144" s="466" t="s">
        <v>858</v>
      </c>
      <c r="C144" s="467"/>
      <c r="D144" s="467"/>
      <c r="E144" s="467"/>
      <c r="H144" s="35"/>
    </row>
    <row r="145" spans="2:16" ht="15" customHeight="1" x14ac:dyDescent="0.3">
      <c r="B145" s="203" t="s">
        <v>734</v>
      </c>
      <c r="C145" s="223" t="s">
        <v>297</v>
      </c>
      <c r="D145" s="12" t="s">
        <v>296</v>
      </c>
      <c r="E145" s="12" t="s">
        <v>859</v>
      </c>
      <c r="H145" s="35"/>
    </row>
    <row r="146" spans="2:16" ht="15" customHeight="1" x14ac:dyDescent="0.3">
      <c r="B146" s="202" t="s">
        <v>860</v>
      </c>
      <c r="C146" s="227" t="str">
        <f>'Value Creation Tracker'!I7</f>
        <v>Treasury</v>
      </c>
      <c r="D146" s="182" t="str">
        <f>'Value Creation Tracker'!H7</f>
        <v>12 months</v>
      </c>
      <c r="E146" t="s">
        <v>836</v>
      </c>
      <c r="H146" s="35"/>
    </row>
    <row r="147" spans="2:16" ht="15" customHeight="1" x14ac:dyDescent="0.3">
      <c r="B147" s="202" t="s">
        <v>861</v>
      </c>
      <c r="C147" s="227" t="str">
        <f>'Value Creation Tracker'!I5</f>
        <v>Branch Operations</v>
      </c>
      <c r="D147" s="182" t="str">
        <f>'Value Creation Tracker'!H5</f>
        <v>6 months</v>
      </c>
      <c r="E147" t="s">
        <v>862</v>
      </c>
      <c r="H147" s="35"/>
    </row>
    <row r="148" spans="2:16" ht="15" customHeight="1" x14ac:dyDescent="0.3">
      <c r="B148" s="202" t="s">
        <v>863</v>
      </c>
      <c r="C148" s="227" t="str">
        <f>'Value Creation Tracker'!I5</f>
        <v>Branch Operations</v>
      </c>
      <c r="D148" s="182" t="str">
        <f>'Value Creation Tracker'!H5</f>
        <v>6 months</v>
      </c>
      <c r="E148" t="s">
        <v>864</v>
      </c>
      <c r="H148" s="35"/>
    </row>
    <row r="149" spans="2:16" ht="15" customHeight="1" x14ac:dyDescent="0.3">
      <c r="B149" s="204" t="s">
        <v>865</v>
      </c>
      <c r="C149" s="200" t="str">
        <f>'Value Creation Tracker'!I8</f>
        <v>Risk &amp; Collections</v>
      </c>
      <c r="D149" s="201" t="str">
        <f>'Value Creation Tracker'!H8</f>
        <v>9 months</v>
      </c>
      <c r="E149" s="24" t="s">
        <v>834</v>
      </c>
      <c r="F149" s="24"/>
      <c r="G149" s="24"/>
      <c r="H149" s="109"/>
    </row>
    <row r="150" spans="2:16" ht="15" customHeight="1" x14ac:dyDescent="0.3">
      <c r="B150" s="202"/>
      <c r="C150" s="222"/>
      <c r="H150" s="35"/>
    </row>
    <row r="151" spans="2:16" ht="15" customHeight="1" x14ac:dyDescent="0.3">
      <c r="B151" s="202"/>
      <c r="C151" s="222"/>
      <c r="H151" s="35"/>
    </row>
    <row r="152" spans="2:16" ht="10.050000000000001" customHeight="1" x14ac:dyDescent="0.3">
      <c r="B152" s="26"/>
      <c r="H152" s="35"/>
    </row>
    <row r="153" spans="2:16" x14ac:dyDescent="0.3">
      <c r="B153" s="26"/>
      <c r="H153" s="35"/>
    </row>
    <row r="154" spans="2:16" ht="24" customHeight="1" x14ac:dyDescent="0.3">
      <c r="B154" s="505" t="s">
        <v>215</v>
      </c>
      <c r="C154" s="506"/>
      <c r="D154" s="506"/>
      <c r="E154" s="506"/>
      <c r="F154" s="506"/>
      <c r="G154" s="506"/>
      <c r="H154" s="507"/>
    </row>
    <row r="155" spans="2:16" ht="31.95" customHeight="1" x14ac:dyDescent="0.3">
      <c r="B155" s="508" t="s">
        <v>648</v>
      </c>
      <c r="C155" s="509"/>
      <c r="D155" s="509"/>
      <c r="E155" s="509"/>
      <c r="F155" s="509"/>
      <c r="G155" s="509"/>
      <c r="H155" s="510"/>
    </row>
    <row r="156" spans="2:16" ht="24" customHeight="1" x14ac:dyDescent="0.3">
      <c r="B156" s="511" t="s">
        <v>216</v>
      </c>
      <c r="C156" s="512"/>
      <c r="D156" s="512"/>
      <c r="E156" s="512"/>
      <c r="F156" s="512"/>
      <c r="G156" s="512"/>
      <c r="H156" s="513"/>
      <c r="J156" s="6" t="s">
        <v>568</v>
      </c>
      <c r="L156" s="724" t="s">
        <v>1463</v>
      </c>
      <c r="N156" s="728"/>
      <c r="O156" s="726"/>
      <c r="P156" s="726"/>
    </row>
    <row r="157" spans="2:16" x14ac:dyDescent="0.3">
      <c r="B157" s="26"/>
      <c r="H157" s="35"/>
      <c r="J157" s="7" t="s">
        <v>625</v>
      </c>
      <c r="K157" s="7">
        <f>'KPIs &amp; Ratios'!F95</f>
        <v>25003</v>
      </c>
      <c r="N157" s="725"/>
      <c r="O157" s="725"/>
      <c r="P157" s="725"/>
    </row>
    <row r="158" spans="2:16" ht="15" thickBot="1" x14ac:dyDescent="0.35">
      <c r="B158" s="167" t="s">
        <v>3</v>
      </c>
      <c r="C158" s="48" t="s">
        <v>4</v>
      </c>
      <c r="D158" s="48" t="s">
        <v>5</v>
      </c>
      <c r="E158" s="48" t="s">
        <v>6</v>
      </c>
      <c r="F158" s="48" t="s">
        <v>7</v>
      </c>
      <c r="G158" s="48" t="s">
        <v>8</v>
      </c>
      <c r="H158" s="64" t="s">
        <v>9</v>
      </c>
      <c r="J158" s="7" t="s">
        <v>626</v>
      </c>
      <c r="K158" s="7">
        <f>'KPIs &amp; Ratios'!G95</f>
        <v>35631</v>
      </c>
      <c r="N158" s="726"/>
      <c r="O158" s="729"/>
      <c r="P158" s="730"/>
    </row>
    <row r="159" spans="2:16" x14ac:dyDescent="0.3">
      <c r="B159" s="129"/>
      <c r="H159" s="35"/>
      <c r="J159" s="7" t="s">
        <v>627</v>
      </c>
      <c r="K159" s="7">
        <f>'KPIs &amp; Ratios'!H95</f>
        <v>60348</v>
      </c>
      <c r="N159" s="726"/>
      <c r="O159" s="729"/>
      <c r="P159" s="730"/>
    </row>
    <row r="160" spans="2:16" x14ac:dyDescent="0.3">
      <c r="B160" s="143" t="s">
        <v>217</v>
      </c>
      <c r="H160" s="35"/>
      <c r="J160" s="7" t="s">
        <v>637</v>
      </c>
      <c r="K160" s="7">
        <f>'KPIs &amp; Ratios'!I95</f>
        <v>84810.860956499993</v>
      </c>
      <c r="N160" s="726"/>
      <c r="O160" s="729"/>
      <c r="P160" s="730"/>
    </row>
    <row r="161" spans="2:16" x14ac:dyDescent="0.3">
      <c r="B161" s="129" t="s">
        <v>218</v>
      </c>
      <c r="C161" s="65"/>
      <c r="D161" s="15">
        <v>11765</v>
      </c>
      <c r="E161" s="15">
        <v>16143</v>
      </c>
      <c r="F161" s="15">
        <v>25003</v>
      </c>
      <c r="G161" s="15">
        <v>35631</v>
      </c>
      <c r="H161" s="61">
        <v>60348</v>
      </c>
      <c r="J161" s="7" t="s">
        <v>638</v>
      </c>
      <c r="K161" s="7">
        <f>'KPIs &amp; Ratios'!J95</f>
        <v>118563.4783377625</v>
      </c>
      <c r="N161" s="726"/>
      <c r="O161" s="729"/>
      <c r="P161" s="730"/>
    </row>
    <row r="162" spans="2:16" x14ac:dyDescent="0.3">
      <c r="B162" s="129" t="s">
        <v>219</v>
      </c>
      <c r="E162" s="66">
        <f>IFERROR(E161/D161-1,"")</f>
        <v>0.37212069698257544</v>
      </c>
      <c r="F162" s="66">
        <f>IFERROR(F161/E161-1,"")</f>
        <v>0.54884470048937617</v>
      </c>
      <c r="G162" s="66">
        <f>IFERROR(G161/F161-1,"")</f>
        <v>0.42506899172099355</v>
      </c>
      <c r="H162" s="71">
        <f>IFERROR(H161/G161-1,"")</f>
        <v>0.69369369369369371</v>
      </c>
      <c r="J162" s="7" t="s">
        <v>639</v>
      </c>
      <c r="K162" s="7">
        <f>'KPIs &amp; Ratios'!K95</f>
        <v>156797.64414804938</v>
      </c>
      <c r="N162" s="726"/>
      <c r="O162" s="726"/>
      <c r="P162" s="726"/>
    </row>
    <row r="163" spans="2:16" x14ac:dyDescent="0.3">
      <c r="B163" s="129" t="s">
        <v>220</v>
      </c>
      <c r="C163" s="17">
        <f>'KPIs &amp; Ratios'!C12</f>
        <v>3680.21</v>
      </c>
      <c r="D163" s="17">
        <f>'KPIs &amp; Ratios'!D12</f>
        <v>7524</v>
      </c>
      <c r="E163" s="17">
        <f>'KPIs &amp; Ratios'!E12</f>
        <v>15751</v>
      </c>
      <c r="F163" s="17">
        <f>'KPIs &amp; Ratios'!F12</f>
        <v>33289</v>
      </c>
      <c r="G163" s="17" t="str">
        <f>IF('KPIs &amp; Ratios'!G12=0,"",'KPIs &amp; Ratios'!G12)</f>
        <v/>
      </c>
      <c r="H163" s="39" t="str">
        <f>IF('KPIs &amp; Ratios'!H12=0,"",'KPIs &amp; Ratios'!H12)</f>
        <v/>
      </c>
      <c r="J163" s="7" t="s">
        <v>640</v>
      </c>
      <c r="K163" s="7">
        <f>'KPIs &amp; Ratios'!L95</f>
        <v>198928.52430378739</v>
      </c>
      <c r="N163" s="731"/>
      <c r="O163" s="726"/>
      <c r="P163" s="726"/>
    </row>
    <row r="164" spans="2:16" x14ac:dyDescent="0.3">
      <c r="B164" s="129" t="s">
        <v>221</v>
      </c>
      <c r="C164" s="17"/>
      <c r="D164" s="17"/>
      <c r="E164" s="17">
        <f>'KPIs &amp; Ratios'!E14</f>
        <v>11</v>
      </c>
      <c r="F164" s="17">
        <f>'KPIs &amp; Ratios'!F14</f>
        <v>15</v>
      </c>
      <c r="G164" s="17">
        <f>'KPIs &amp; Ratios'!G14</f>
        <v>18</v>
      </c>
      <c r="H164" s="39">
        <f>'KPIs &amp; Ratios'!H14</f>
        <v>22</v>
      </c>
      <c r="J164" s="7" t="s">
        <v>641</v>
      </c>
      <c r="K164" s="7">
        <f>'KPIs &amp; Ratios'!M95</f>
        <v>246011.83189515059</v>
      </c>
    </row>
    <row r="165" spans="2:16" x14ac:dyDescent="0.3">
      <c r="B165" s="129" t="s">
        <v>222</v>
      </c>
      <c r="C165" s="65"/>
      <c r="D165" s="65"/>
      <c r="E165" s="65"/>
      <c r="F165" s="65"/>
      <c r="G165" s="65"/>
      <c r="H165" s="61">
        <v>500</v>
      </c>
    </row>
    <row r="166" spans="2:16" x14ac:dyDescent="0.3">
      <c r="B166" s="129"/>
      <c r="H166" s="35"/>
      <c r="J166" s="7" t="s">
        <v>625</v>
      </c>
      <c r="K166" s="7">
        <f>'KPIs &amp; Ratios'!F21</f>
        <v>1949.26</v>
      </c>
    </row>
    <row r="167" spans="2:16" x14ac:dyDescent="0.3">
      <c r="B167" s="143" t="s">
        <v>223</v>
      </c>
      <c r="H167" s="35"/>
      <c r="J167" s="7" t="s">
        <v>626</v>
      </c>
      <c r="K167" s="7">
        <f>'KPIs &amp; Ratios'!G21</f>
        <v>2359.41</v>
      </c>
    </row>
    <row r="168" spans="2:16" x14ac:dyDescent="0.3">
      <c r="B168" s="129" t="s">
        <v>224</v>
      </c>
      <c r="C168" s="17"/>
      <c r="D168" s="17"/>
      <c r="E168" s="15">
        <v>1414.75</v>
      </c>
      <c r="F168" s="15">
        <v>2196.7199999999998</v>
      </c>
      <c r="G168" s="15">
        <v>2707.75</v>
      </c>
      <c r="H168" s="61">
        <v>4028.98</v>
      </c>
      <c r="J168" s="7" t="s">
        <v>627</v>
      </c>
      <c r="K168" s="7">
        <f>'KPIs &amp; Ratios'!H21</f>
        <v>3374.1400000000003</v>
      </c>
    </row>
    <row r="169" spans="2:16" x14ac:dyDescent="0.3">
      <c r="B169" s="129" t="s">
        <v>225</v>
      </c>
      <c r="C169" s="17"/>
      <c r="D169" s="15">
        <v>453</v>
      </c>
      <c r="E169" s="15">
        <v>611.70000000000005</v>
      </c>
      <c r="F169" s="15">
        <v>1389.36</v>
      </c>
      <c r="G169" s="15">
        <v>1417.18</v>
      </c>
      <c r="H169" s="61">
        <v>1933.53</v>
      </c>
      <c r="J169" s="7" t="s">
        <v>637</v>
      </c>
      <c r="K169" s="7">
        <f>'KPIs &amp; Ratios'!I21</f>
        <v>5761.7376746432519</v>
      </c>
    </row>
    <row r="170" spans="2:16" x14ac:dyDescent="0.3">
      <c r="B170" s="129" t="s">
        <v>226</v>
      </c>
      <c r="C170" s="17"/>
      <c r="D170" s="15">
        <v>293</v>
      </c>
      <c r="E170" s="15">
        <v>584.94000000000005</v>
      </c>
      <c r="F170" s="15">
        <v>2055.96</v>
      </c>
      <c r="G170" s="15">
        <v>-98.34</v>
      </c>
      <c r="H170" s="61">
        <v>541.80999999999995</v>
      </c>
      <c r="J170" s="7" t="s">
        <v>638</v>
      </c>
      <c r="K170" s="7">
        <f>'KPIs &amp; Ratios'!J21</f>
        <v>8195.5298159463509</v>
      </c>
    </row>
    <row r="171" spans="2:16" ht="28.8" x14ac:dyDescent="0.3">
      <c r="B171" s="168" t="s">
        <v>227</v>
      </c>
      <c r="C171" s="17">
        <f>'Profit &amp; Loss'!C38</f>
        <v>-558.96440000000052</v>
      </c>
      <c r="D171" s="17">
        <f>'Profit &amp; Loss'!D38</f>
        <v>375.40999999999963</v>
      </c>
      <c r="E171" s="17">
        <f>'Profit &amp; Loss'!E38</f>
        <v>685.03000000000043</v>
      </c>
      <c r="F171" s="17">
        <f>'Profit &amp; Loss'!F38</f>
        <v>1683.0600000000002</v>
      </c>
      <c r="G171" s="17">
        <f>'Profit &amp; Loss'!G38</f>
        <v>-98.340000000000543</v>
      </c>
      <c r="H171" s="39">
        <f>'Profit &amp; Loss'!H38</f>
        <v>541.80999999999972</v>
      </c>
      <c r="J171" s="7" t="s">
        <v>639</v>
      </c>
      <c r="K171" s="7">
        <f>'KPIs &amp; Ratios'!K21</f>
        <v>10726.00828647971</v>
      </c>
    </row>
    <row r="172" spans="2:16" x14ac:dyDescent="0.3">
      <c r="B172" s="129" t="s">
        <v>228</v>
      </c>
      <c r="C172" s="228">
        <v>-3.7</v>
      </c>
      <c r="D172" s="228">
        <v>2.7</v>
      </c>
      <c r="E172" s="228">
        <v>4.4000000000000004</v>
      </c>
      <c r="F172" s="228">
        <v>5.24</v>
      </c>
      <c r="G172" s="228">
        <v>-0.35</v>
      </c>
      <c r="H172" s="73">
        <v>1.1599999999999999</v>
      </c>
      <c r="J172" s="7" t="s">
        <v>640</v>
      </c>
      <c r="K172" s="7">
        <f>'KPIs &amp; Ratios'!L21</f>
        <v>13286.769345368069</v>
      </c>
    </row>
    <row r="173" spans="2:16" x14ac:dyDescent="0.3">
      <c r="B173" s="129" t="s">
        <v>229</v>
      </c>
      <c r="C173" s="228">
        <v>-22.8</v>
      </c>
      <c r="D173" s="228">
        <v>7</v>
      </c>
      <c r="E173" s="229"/>
      <c r="F173" s="229"/>
      <c r="G173" s="229"/>
      <c r="H173" s="205"/>
      <c r="J173" s="7" t="s">
        <v>641</v>
      </c>
      <c r="K173" s="7">
        <f>'KPIs &amp; Ratios'!M21</f>
        <v>16306.53528302409</v>
      </c>
    </row>
    <row r="174" spans="2:16" x14ac:dyDescent="0.3">
      <c r="B174" s="129" t="s">
        <v>230</v>
      </c>
      <c r="C174" s="228">
        <v>8.1999999999999993</v>
      </c>
      <c r="D174" s="228">
        <v>9.81</v>
      </c>
      <c r="E174" s="228">
        <v>10.7</v>
      </c>
      <c r="F174" s="228">
        <v>11.2</v>
      </c>
      <c r="G174" s="229"/>
      <c r="H174" s="205"/>
    </row>
    <row r="175" spans="2:16" x14ac:dyDescent="0.3">
      <c r="B175" s="129"/>
      <c r="H175" s="35"/>
      <c r="J175" s="7" t="s">
        <v>625</v>
      </c>
      <c r="K175" s="7">
        <f>'KPIs &amp; Ratios'!F44</f>
        <v>1.1599999999999999</v>
      </c>
      <c r="L175" s="7">
        <f>$O$158</f>
        <v>0</v>
      </c>
    </row>
    <row r="176" spans="2:16" x14ac:dyDescent="0.3">
      <c r="B176" s="143" t="s">
        <v>231</v>
      </c>
      <c r="H176" s="35"/>
      <c r="J176" s="7" t="s">
        <v>626</v>
      </c>
      <c r="K176" s="7">
        <f>'KPIs &amp; Ratios'!G44</f>
        <v>1.84</v>
      </c>
      <c r="L176" s="7">
        <f>$O$158</f>
        <v>0</v>
      </c>
    </row>
    <row r="177" spans="2:12" x14ac:dyDescent="0.3">
      <c r="B177" s="129" t="s">
        <v>232</v>
      </c>
      <c r="C177" s="67"/>
      <c r="D177" s="228">
        <v>3.29</v>
      </c>
      <c r="E177" s="228">
        <v>1.44</v>
      </c>
      <c r="F177" s="228">
        <v>1.1599999999999999</v>
      </c>
      <c r="G177" s="228">
        <v>1.84</v>
      </c>
      <c r="H177" s="73">
        <v>1.44</v>
      </c>
      <c r="J177" s="7" t="s">
        <v>627</v>
      </c>
      <c r="K177" s="7">
        <f>'KPIs &amp; Ratios'!H44</f>
        <v>1.44</v>
      </c>
      <c r="L177" s="7">
        <f>$O$158</f>
        <v>0</v>
      </c>
    </row>
    <row r="178" spans="2:12" x14ac:dyDescent="0.3">
      <c r="B178" s="129" t="s">
        <v>233</v>
      </c>
      <c r="C178" s="67"/>
      <c r="D178" s="228">
        <v>1.3</v>
      </c>
      <c r="E178" s="228">
        <v>0.78</v>
      </c>
      <c r="F178" s="228">
        <v>0.59</v>
      </c>
      <c r="G178" s="228">
        <v>0.85</v>
      </c>
      <c r="H178" s="73">
        <v>0.74</v>
      </c>
      <c r="J178" s="7" t="s">
        <v>637</v>
      </c>
      <c r="K178" s="7">
        <f>'KPIs &amp; Ratios'!I44</f>
        <v>1.35</v>
      </c>
      <c r="L178" s="7">
        <f>$O$158</f>
        <v>0</v>
      </c>
    </row>
    <row r="179" spans="2:12" x14ac:dyDescent="0.3">
      <c r="B179" s="129" t="s">
        <v>234</v>
      </c>
      <c r="C179" s="67"/>
      <c r="D179" s="228">
        <v>49.06</v>
      </c>
      <c r="E179" s="67"/>
      <c r="F179" s="228">
        <v>33.799999999999997</v>
      </c>
      <c r="G179" s="228">
        <v>22.94</v>
      </c>
      <c r="H179" s="73">
        <v>16.829999999999998</v>
      </c>
      <c r="J179" s="7" t="s">
        <v>638</v>
      </c>
      <c r="K179" s="7">
        <f>'KPIs &amp; Ratios'!J44</f>
        <v>1.3</v>
      </c>
      <c r="L179" s="7">
        <f>$O$158</f>
        <v>0</v>
      </c>
    </row>
    <row r="180" spans="2:12" x14ac:dyDescent="0.3">
      <c r="B180" s="129" t="s">
        <v>235</v>
      </c>
      <c r="C180" s="17"/>
      <c r="D180" s="17"/>
      <c r="E180" s="17"/>
      <c r="F180" s="15">
        <v>8116</v>
      </c>
      <c r="G180" s="15">
        <v>8124</v>
      </c>
      <c r="H180" s="61">
        <v>10298</v>
      </c>
      <c r="J180" s="7" t="s">
        <v>639</v>
      </c>
      <c r="K180" s="7">
        <f>'KPIs &amp; Ratios'!K44</f>
        <v>1.25</v>
      </c>
      <c r="L180" s="7">
        <f>$O$158</f>
        <v>0</v>
      </c>
    </row>
    <row r="181" spans="2:12" x14ac:dyDescent="0.3">
      <c r="B181" s="129"/>
      <c r="H181" s="35"/>
      <c r="J181" s="7" t="s">
        <v>640</v>
      </c>
      <c r="K181" s="7">
        <f>'KPIs &amp; Ratios'!L44</f>
        <v>1.2</v>
      </c>
      <c r="L181" s="7">
        <f>$O$158</f>
        <v>0</v>
      </c>
    </row>
    <row r="182" spans="2:12" x14ac:dyDescent="0.3">
      <c r="B182" s="143" t="s">
        <v>236</v>
      </c>
      <c r="H182" s="35"/>
      <c r="J182" s="7" t="s">
        <v>641</v>
      </c>
      <c r="K182" s="7">
        <f>'KPIs &amp; Ratios'!M44</f>
        <v>1.1499999999999999</v>
      </c>
      <c r="L182" s="7">
        <f>$O$158</f>
        <v>0</v>
      </c>
    </row>
    <row r="183" spans="2:12" x14ac:dyDescent="0.3">
      <c r="B183" s="129" t="s">
        <v>237</v>
      </c>
      <c r="C183" s="17"/>
      <c r="D183" s="17"/>
      <c r="E183" s="15">
        <v>2010.03</v>
      </c>
      <c r="F183" s="15">
        <v>3151.82</v>
      </c>
      <c r="G183" s="15">
        <v>4222.84</v>
      </c>
      <c r="H183" s="61">
        <v>6795.65</v>
      </c>
    </row>
    <row r="184" spans="2:12" x14ac:dyDescent="0.3">
      <c r="B184" s="129" t="s">
        <v>238</v>
      </c>
      <c r="C184" s="17"/>
      <c r="D184" s="17"/>
      <c r="E184" s="15">
        <v>803.05</v>
      </c>
      <c r="F184" s="15">
        <v>807.36</v>
      </c>
      <c r="G184" s="15">
        <v>1290.57</v>
      </c>
      <c r="H184" s="61">
        <v>2095.4499999999998</v>
      </c>
      <c r="J184" s="7" t="s">
        <v>625</v>
      </c>
      <c r="K184" s="7">
        <f>'KPIs &amp; Ratios'!F45</f>
        <v>0.59</v>
      </c>
      <c r="L184" s="7">
        <f>$O$159</f>
        <v>0</v>
      </c>
    </row>
    <row r="185" spans="2:12" x14ac:dyDescent="0.3">
      <c r="B185" s="129" t="s">
        <v>239</v>
      </c>
      <c r="C185" s="230"/>
      <c r="D185" s="230">
        <f>IFERROR('KPIs &amp; Ratios'!D30*100,"")</f>
        <v>56.734339492702532</v>
      </c>
      <c r="E185" s="230">
        <f>'KPIs &amp; Ratios'!E30*100</f>
        <v>56.83297947629157</v>
      </c>
      <c r="F185" s="229">
        <f>F184/F168*100</f>
        <v>36.752977165956516</v>
      </c>
      <c r="G185" s="229">
        <f>G184/G168*100</f>
        <v>47.662081063613698</v>
      </c>
      <c r="H185" s="205">
        <f>H184/H168*100</f>
        <v>52.009441595639586</v>
      </c>
      <c r="J185" s="7" t="s">
        <v>626</v>
      </c>
      <c r="K185" s="7">
        <f>'KPIs &amp; Ratios'!G45</f>
        <v>0.85</v>
      </c>
      <c r="L185" s="7">
        <f>$O$159</f>
        <v>0</v>
      </c>
    </row>
    <row r="186" spans="2:12" x14ac:dyDescent="0.3">
      <c r="B186" s="148" t="s">
        <v>240</v>
      </c>
      <c r="C186" s="171"/>
      <c r="D186" s="171"/>
      <c r="E186" s="171"/>
      <c r="F186" s="69">
        <v>8.06</v>
      </c>
      <c r="G186" s="69">
        <v>8.09</v>
      </c>
      <c r="H186" s="75">
        <v>7.73</v>
      </c>
      <c r="J186" s="7" t="s">
        <v>627</v>
      </c>
      <c r="K186" s="7">
        <f>'KPIs &amp; Ratios'!H45</f>
        <v>0.74</v>
      </c>
      <c r="L186" s="7">
        <f>$O$159</f>
        <v>0</v>
      </c>
    </row>
    <row r="187" spans="2:12" x14ac:dyDescent="0.3">
      <c r="B187" s="129"/>
      <c r="H187" s="35"/>
      <c r="J187" s="7" t="s">
        <v>637</v>
      </c>
      <c r="K187" s="7">
        <f>'KPIs &amp; Ratios'!I45</f>
        <v>0.67999999999999994</v>
      </c>
      <c r="L187" s="7">
        <f>$O$159</f>
        <v>0</v>
      </c>
    </row>
    <row r="188" spans="2:12" x14ac:dyDescent="0.3">
      <c r="B188" s="514" t="s">
        <v>594</v>
      </c>
      <c r="C188" s="515"/>
      <c r="D188" s="515"/>
      <c r="E188" s="515"/>
      <c r="F188" s="515"/>
      <c r="G188" s="515"/>
      <c r="H188" s="516"/>
      <c r="J188" s="7" t="s">
        <v>638</v>
      </c>
      <c r="K188" s="7">
        <f>'KPIs &amp; Ratios'!J45</f>
        <v>0.63</v>
      </c>
      <c r="L188" s="7">
        <f>$O$159</f>
        <v>0</v>
      </c>
    </row>
    <row r="189" spans="2:12" x14ac:dyDescent="0.3">
      <c r="B189" s="169" t="s">
        <v>262</v>
      </c>
      <c r="C189" s="15">
        <v>67054</v>
      </c>
      <c r="H189" s="35"/>
      <c r="J189" s="7" t="s">
        <v>639</v>
      </c>
      <c r="K189" s="7">
        <f>'KPIs &amp; Ratios'!K45</f>
        <v>0.6</v>
      </c>
      <c r="L189" s="7">
        <f>$O$159</f>
        <v>0</v>
      </c>
    </row>
    <row r="190" spans="2:12" x14ac:dyDescent="0.3">
      <c r="B190" s="169" t="s">
        <v>595</v>
      </c>
      <c r="C190" s="231">
        <v>9.0999999999999998E-2</v>
      </c>
      <c r="H190" s="35"/>
      <c r="J190" s="7" t="s">
        <v>640</v>
      </c>
      <c r="K190" s="7">
        <f>'KPIs &amp; Ratios'!L45</f>
        <v>0.57000000000000006</v>
      </c>
      <c r="L190" s="7">
        <f>$O$159</f>
        <v>0</v>
      </c>
    </row>
    <row r="191" spans="2:12" x14ac:dyDescent="0.3">
      <c r="B191" s="169" t="s">
        <v>596</v>
      </c>
      <c r="C191" s="231">
        <v>2.4E-2</v>
      </c>
      <c r="H191" s="35"/>
      <c r="J191" s="7" t="s">
        <v>641</v>
      </c>
      <c r="K191" s="7">
        <f>'KPIs &amp; Ratios'!M45</f>
        <v>0.54999999999999993</v>
      </c>
      <c r="L191" s="7">
        <f>$O$159</f>
        <v>0</v>
      </c>
    </row>
    <row r="192" spans="2:12" x14ac:dyDescent="0.3">
      <c r="B192" s="169" t="s">
        <v>597</v>
      </c>
      <c r="C192" s="231">
        <v>1.37E-2</v>
      </c>
      <c r="H192" s="35"/>
    </row>
    <row r="193" spans="2:11" x14ac:dyDescent="0.3">
      <c r="B193" s="169" t="s">
        <v>598</v>
      </c>
      <c r="C193" s="231">
        <v>7.0000000000000001E-3</v>
      </c>
      <c r="H193" s="35"/>
      <c r="J193" s="7" t="s">
        <v>625</v>
      </c>
      <c r="K193" s="7">
        <v>1027.3699999999999</v>
      </c>
    </row>
    <row r="194" spans="2:11" x14ac:dyDescent="0.3">
      <c r="B194" s="169" t="s">
        <v>599</v>
      </c>
      <c r="C194" s="231">
        <v>4.0599999999999997E-2</v>
      </c>
      <c r="H194" s="35"/>
      <c r="J194" s="7" t="s">
        <v>626</v>
      </c>
      <c r="K194" s="7">
        <f>'KPIs &amp; Ratios'!G35</f>
        <v>-98.340000000000543</v>
      </c>
    </row>
    <row r="195" spans="2:11" x14ac:dyDescent="0.3">
      <c r="B195" s="169" t="s">
        <v>226</v>
      </c>
      <c r="C195" s="15">
        <v>308</v>
      </c>
      <c r="H195" s="35"/>
      <c r="J195" s="7" t="s">
        <v>627</v>
      </c>
      <c r="K195" s="7">
        <f>'KPIs &amp; Ratios'!H35</f>
        <v>541.80999999999972</v>
      </c>
    </row>
    <row r="196" spans="2:11" x14ac:dyDescent="0.3">
      <c r="B196" s="169" t="s">
        <v>600</v>
      </c>
      <c r="C196" s="231">
        <v>1.9800000000000002E-2</v>
      </c>
      <c r="H196" s="35"/>
      <c r="J196" s="7" t="s">
        <v>637</v>
      </c>
      <c r="K196" s="7">
        <f>'KPIs &amp; Ratios'!I35</f>
        <v>1781.8730524467937</v>
      </c>
    </row>
    <row r="197" spans="2:11" x14ac:dyDescent="0.3">
      <c r="B197" s="169" t="s">
        <v>601</v>
      </c>
      <c r="C197" s="15">
        <v>785</v>
      </c>
      <c r="H197" s="35"/>
      <c r="J197" s="7" t="s">
        <v>638</v>
      </c>
      <c r="K197" s="7">
        <f>'KPIs &amp; Ratios'!J35</f>
        <v>3117.5046289059546</v>
      </c>
    </row>
    <row r="198" spans="2:11" ht="28.8" x14ac:dyDescent="0.3">
      <c r="B198" s="169" t="s">
        <v>602</v>
      </c>
      <c r="C198" s="232">
        <v>3.82</v>
      </c>
      <c r="H198" s="35"/>
      <c r="J198" s="7" t="s">
        <v>639</v>
      </c>
      <c r="K198" s="7">
        <f>'KPIs &amp; Ratios'!K35</f>
        <v>4514.9235668837218</v>
      </c>
    </row>
    <row r="199" spans="2:11" x14ac:dyDescent="0.3">
      <c r="B199" s="169" t="s">
        <v>603</v>
      </c>
      <c r="C199" s="231">
        <v>0.1946</v>
      </c>
      <c r="H199" s="35"/>
      <c r="J199" s="7" t="s">
        <v>640</v>
      </c>
      <c r="K199" s="7">
        <f>'KPIs &amp; Ratios'!L35</f>
        <v>5939.5821171954221</v>
      </c>
    </row>
    <row r="200" spans="2:11" x14ac:dyDescent="0.3">
      <c r="B200" s="169" t="s">
        <v>604</v>
      </c>
      <c r="C200" s="231">
        <v>7.7200000000000005E-2</v>
      </c>
      <c r="H200" s="35"/>
      <c r="J200" s="7" t="s">
        <v>641</v>
      </c>
      <c r="K200" s="7">
        <f>'KPIs &amp; Ratios'!M35</f>
        <v>7832.1898261735259</v>
      </c>
    </row>
    <row r="201" spans="2:11" x14ac:dyDescent="0.3">
      <c r="B201" s="170" t="s">
        <v>605</v>
      </c>
      <c r="C201" s="137" t="s">
        <v>617</v>
      </c>
      <c r="D201" s="24"/>
      <c r="E201" s="24"/>
      <c r="F201" s="24"/>
      <c r="G201" s="24"/>
      <c r="H201" s="109"/>
    </row>
    <row r="202" spans="2:11" x14ac:dyDescent="0.3">
      <c r="B202" s="129"/>
      <c r="H202" s="35"/>
      <c r="J202" s="7" t="s">
        <v>625</v>
      </c>
      <c r="K202" s="7">
        <f>'KPIs &amp; Ratios'!F31</f>
        <v>1389.6699999999996</v>
      </c>
    </row>
    <row r="203" spans="2:11" x14ac:dyDescent="0.3">
      <c r="B203" s="514" t="s">
        <v>606</v>
      </c>
      <c r="C203" s="515"/>
      <c r="D203" s="515"/>
      <c r="E203" s="515"/>
      <c r="F203" s="515"/>
      <c r="G203" s="515"/>
      <c r="H203" s="516"/>
      <c r="J203" s="7" t="s">
        <v>626</v>
      </c>
      <c r="K203" s="7">
        <f>'KPIs &amp; Ratios'!G31</f>
        <v>1430.9</v>
      </c>
    </row>
    <row r="204" spans="2:11" x14ac:dyDescent="0.3">
      <c r="B204" s="169" t="s">
        <v>607</v>
      </c>
      <c r="C204" s="231">
        <v>0.03</v>
      </c>
      <c r="H204" s="35"/>
      <c r="J204" s="7" t="s">
        <v>627</v>
      </c>
      <c r="K204" s="7">
        <f>'KPIs &amp; Ratios'!H31</f>
        <v>1933.5300000000007</v>
      </c>
    </row>
    <row r="205" spans="2:11" x14ac:dyDescent="0.3">
      <c r="B205" s="169" t="s">
        <v>608</v>
      </c>
      <c r="C205" s="231">
        <v>3.5000000000000003E-2</v>
      </c>
      <c r="H205" s="35"/>
      <c r="J205" s="7" t="s">
        <v>637</v>
      </c>
      <c r="K205" s="7">
        <f>'KPIs &amp; Ratios'!I31</f>
        <v>3946.8357306532725</v>
      </c>
    </row>
    <row r="206" spans="2:11" x14ac:dyDescent="0.3">
      <c r="B206" s="169" t="s">
        <v>609</v>
      </c>
      <c r="C206" s="233" t="s">
        <v>618</v>
      </c>
      <c r="H206" s="35"/>
      <c r="J206" s="7" t="s">
        <v>638</v>
      </c>
      <c r="K206" s="7">
        <f>'KPIs &amp; Ratios'!J31</f>
        <v>6146.7346786245162</v>
      </c>
    </row>
    <row r="207" spans="2:11" x14ac:dyDescent="0.3">
      <c r="B207" s="169" t="s">
        <v>610</v>
      </c>
      <c r="C207" s="113" t="s">
        <v>611</v>
      </c>
      <c r="H207" s="35"/>
      <c r="J207" s="7" t="s">
        <v>639</v>
      </c>
      <c r="K207" s="7">
        <f>'KPIs &amp; Ratios'!K31</f>
        <v>8455.0117966402868</v>
      </c>
    </row>
    <row r="208" spans="2:11" x14ac:dyDescent="0.3">
      <c r="B208" s="149" t="s">
        <v>612</v>
      </c>
      <c r="H208" s="35"/>
      <c r="J208" s="7" t="s">
        <v>640</v>
      </c>
      <c r="K208" s="7">
        <f>'KPIs &amp; Ratios'!L31</f>
        <v>10902.446405590801</v>
      </c>
    </row>
    <row r="209" spans="10:12" x14ac:dyDescent="0.3">
      <c r="J209" s="7" t="s">
        <v>641</v>
      </c>
      <c r="K209" s="7">
        <f>'KPIs &amp; Ratios'!M31</f>
        <v>13963.9165136669</v>
      </c>
    </row>
    <row r="211" spans="10:12" x14ac:dyDescent="0.3">
      <c r="J211" s="7" t="s">
        <v>625</v>
      </c>
      <c r="K211" s="7">
        <f>'KPIs &amp; Ratios'!F26*100</f>
        <v>7.2542787687344621</v>
      </c>
    </row>
    <row r="212" spans="10:12" x14ac:dyDescent="0.3">
      <c r="J212" s="7" t="s">
        <v>626</v>
      </c>
      <c r="K212" s="7">
        <f>'KPIs &amp; Ratios'!G26*100</f>
        <v>7.3977775759582114</v>
      </c>
    </row>
    <row r="213" spans="10:12" x14ac:dyDescent="0.3">
      <c r="J213" s="7" t="s">
        <v>627</v>
      </c>
      <c r="K213" s="7">
        <f>'KPIs &amp; Ratios'!H26*100</f>
        <v>7.4796242439562111</v>
      </c>
    </row>
    <row r="214" spans="10:12" x14ac:dyDescent="0.3">
      <c r="J214" s="7" t="s">
        <v>637</v>
      </c>
      <c r="K214" s="7">
        <f>'KPIs &amp; Ratios'!I26*100</f>
        <v>7.5</v>
      </c>
    </row>
    <row r="215" spans="10:12" x14ac:dyDescent="0.3">
      <c r="J215" s="7" t="s">
        <v>638</v>
      </c>
      <c r="K215" s="7">
        <f>'KPIs &amp; Ratios'!J26*100</f>
        <v>7.3</v>
      </c>
    </row>
    <row r="216" spans="10:12" x14ac:dyDescent="0.3">
      <c r="J216" s="7" t="s">
        <v>639</v>
      </c>
      <c r="K216" s="7">
        <f>'KPIs &amp; Ratios'!K26*100</f>
        <v>7.1999999999999993</v>
      </c>
    </row>
    <row r="217" spans="10:12" x14ac:dyDescent="0.3">
      <c r="J217" s="7" t="s">
        <v>640</v>
      </c>
      <c r="K217" s="7">
        <f>'KPIs &amp; Ratios'!L26*100</f>
        <v>7.1</v>
      </c>
    </row>
    <row r="218" spans="10:12" x14ac:dyDescent="0.3">
      <c r="J218" s="7" t="s">
        <v>641</v>
      </c>
      <c r="K218" s="7">
        <f>'KPIs &amp; Ratios'!M26*100</f>
        <v>7.0000000000000009</v>
      </c>
    </row>
    <row r="220" spans="10:12" x14ac:dyDescent="0.3">
      <c r="J220" s="7" t="s">
        <v>625</v>
      </c>
      <c r="K220" s="7">
        <f>'KPIs &amp; Ratios'!F33*100</f>
        <v>7.1154030300897242</v>
      </c>
      <c r="L220" s="7">
        <f>$O$160</f>
        <v>0</v>
      </c>
    </row>
    <row r="221" spans="10:12" x14ac:dyDescent="0.3">
      <c r="J221" s="7" t="s">
        <v>626</v>
      </c>
      <c r="K221" s="7">
        <f>'KPIs &amp; Ratios'!G33*100</f>
        <v>-0.33269707920788916</v>
      </c>
      <c r="L221" s="7">
        <f>$O$160</f>
        <v>0</v>
      </c>
    </row>
    <row r="222" spans="10:12" x14ac:dyDescent="0.3">
      <c r="J222" s="7" t="s">
        <v>627</v>
      </c>
      <c r="K222" s="7">
        <f>'KPIs &amp; Ratios'!H33*100</f>
        <v>1.137044012948379</v>
      </c>
      <c r="L222" s="7">
        <f>$O$160</f>
        <v>0</v>
      </c>
    </row>
    <row r="223" spans="10:12" x14ac:dyDescent="0.3">
      <c r="J223" s="7" t="s">
        <v>637</v>
      </c>
      <c r="K223" s="7">
        <f>'KPIs &amp; Ratios'!I33*100</f>
        <v>2.3208796673988936</v>
      </c>
      <c r="L223" s="7">
        <f>$O$160</f>
        <v>0</v>
      </c>
    </row>
    <row r="224" spans="10:12" x14ac:dyDescent="0.3">
      <c r="J224" s="7" t="s">
        <v>638</v>
      </c>
      <c r="K224" s="7">
        <f>'KPIs &amp; Ratios'!J33*100</f>
        <v>2.7889998979982713</v>
      </c>
      <c r="L224" s="7">
        <f>$O$160</f>
        <v>0</v>
      </c>
    </row>
    <row r="225" spans="10:12" x14ac:dyDescent="0.3">
      <c r="J225" s="7" t="s">
        <v>639</v>
      </c>
      <c r="K225" s="7">
        <f>'KPIs &amp; Ratios'!K33*100</f>
        <v>2.9853932441103237</v>
      </c>
      <c r="L225" s="7">
        <f>$O$160</f>
        <v>0</v>
      </c>
    </row>
    <row r="226" spans="10:12" x14ac:dyDescent="0.3">
      <c r="J226" s="7" t="s">
        <v>640</v>
      </c>
      <c r="K226" s="7">
        <f>'KPIs &amp; Ratios'!L33*100</f>
        <v>3.0415307172793975</v>
      </c>
      <c r="L226" s="7">
        <f>$O$160</f>
        <v>0</v>
      </c>
    </row>
    <row r="227" spans="10:12" x14ac:dyDescent="0.3">
      <c r="J227" s="7" t="s">
        <v>641</v>
      </c>
      <c r="K227" s="7">
        <f>'KPIs &amp; Ratios'!M33*100</f>
        <v>3.2075482563294671</v>
      </c>
      <c r="L227" s="7">
        <f>$O$160</f>
        <v>0</v>
      </c>
    </row>
    <row r="229" spans="10:12" x14ac:dyDescent="0.3">
      <c r="J229" s="7" t="s">
        <v>625</v>
      </c>
      <c r="K229" s="7">
        <f>'KPIs &amp; Ratios'!F94</f>
        <v>8167.08</v>
      </c>
    </row>
    <row r="230" spans="10:12" x14ac:dyDescent="0.3">
      <c r="J230" s="7" t="s">
        <v>626</v>
      </c>
      <c r="K230" s="7">
        <f>'KPIs &amp; Ratios'!G94</f>
        <v>8174.66</v>
      </c>
    </row>
    <row r="231" spans="10:12" x14ac:dyDescent="0.3">
      <c r="J231" s="7" t="s">
        <v>627</v>
      </c>
      <c r="K231" s="7">
        <f>'KPIs &amp; Ratios'!H94</f>
        <v>10348.24</v>
      </c>
    </row>
    <row r="232" spans="10:12" x14ac:dyDescent="0.3">
      <c r="J232" s="7" t="s">
        <v>637</v>
      </c>
      <c r="K232" s="7">
        <f>'KPIs &amp; Ratios'!I94</f>
        <v>17112.363122489227</v>
      </c>
    </row>
    <row r="233" spans="10:12" x14ac:dyDescent="0.3">
      <c r="J233" s="7" t="s">
        <v>638</v>
      </c>
      <c r="K233" s="7">
        <f>'KPIs &amp; Ratios'!J94</f>
        <v>24513.371176254397</v>
      </c>
    </row>
    <row r="234" spans="10:12" x14ac:dyDescent="0.3">
      <c r="J234" s="7" t="s">
        <v>639</v>
      </c>
      <c r="K234" s="7">
        <f>'KPIs &amp; Ratios'!K94</f>
        <v>32781.477045956861</v>
      </c>
    </row>
    <row r="235" spans="10:12" x14ac:dyDescent="0.3">
      <c r="J235" s="7" t="s">
        <v>640</v>
      </c>
      <c r="K235" s="7">
        <f>'KPIs &amp; Ratios'!L94</f>
        <v>41850.448271130641</v>
      </c>
    </row>
    <row r="236" spans="10:12" x14ac:dyDescent="0.3">
      <c r="J236" s="7" t="s">
        <v>641</v>
      </c>
      <c r="K236" s="7">
        <f>'KPIs &amp; Ratios'!M94</f>
        <v>51898.574664218329</v>
      </c>
    </row>
    <row r="238" spans="10:12" x14ac:dyDescent="0.3">
      <c r="J238" s="7" t="s">
        <v>625</v>
      </c>
      <c r="K238" s="7">
        <f>'KPIs &amp; Ratios'!F53</f>
        <v>33.799999999999997</v>
      </c>
      <c r="L238" s="7">
        <f>$O$161</f>
        <v>0</v>
      </c>
    </row>
    <row r="239" spans="10:12" x14ac:dyDescent="0.3">
      <c r="J239" s="7" t="s">
        <v>626</v>
      </c>
      <c r="K239" s="7">
        <f>'KPIs &amp; Ratios'!G53</f>
        <v>22.94</v>
      </c>
      <c r="L239" s="7">
        <f>$O$161</f>
        <v>0</v>
      </c>
    </row>
    <row r="240" spans="10:12" x14ac:dyDescent="0.3">
      <c r="J240" s="7" t="s">
        <v>627</v>
      </c>
      <c r="K240" s="7">
        <f>'KPIs &amp; Ratios'!H53</f>
        <v>16.829999999999998</v>
      </c>
      <c r="L240" s="7">
        <f>$O$161</f>
        <v>0</v>
      </c>
    </row>
    <row r="241" spans="10:12" x14ac:dyDescent="0.3">
      <c r="J241" s="7" t="s">
        <v>637</v>
      </c>
      <c r="K241" s="7">
        <f>'KPIs &amp; Ratios'!I53</f>
        <v>18.601956223687178</v>
      </c>
      <c r="L241" s="7">
        <f>$O$161</f>
        <v>0</v>
      </c>
    </row>
    <row r="242" spans="10:12" x14ac:dyDescent="0.3">
      <c r="J242" s="7" t="s">
        <v>638</v>
      </c>
      <c r="K242" s="7">
        <f>'KPIs &amp; Ratios'!J53</f>
        <v>18.583348278693247</v>
      </c>
      <c r="L242" s="7">
        <f>$O$161</f>
        <v>0</v>
      </c>
    </row>
    <row r="243" spans="10:12" x14ac:dyDescent="0.3">
      <c r="J243" s="7" t="s">
        <v>639</v>
      </c>
      <c r="K243" s="7">
        <f>'KPIs &amp; Ratios'!K53</f>
        <v>18.574911841901116</v>
      </c>
      <c r="L243" s="7">
        <f>$O$161</f>
        <v>0</v>
      </c>
    </row>
    <row r="244" spans="10:12" x14ac:dyDescent="0.3">
      <c r="J244" s="7" t="s">
        <v>640</v>
      </c>
      <c r="K244" s="7">
        <f>'KPIs &amp; Ratios'!L53</f>
        <v>18.570179965834289</v>
      </c>
      <c r="L244" s="7">
        <f>$O$161</f>
        <v>0</v>
      </c>
    </row>
    <row r="245" spans="10:12" x14ac:dyDescent="0.3">
      <c r="J245" s="7" t="s">
        <v>641</v>
      </c>
      <c r="K245" s="7">
        <f>'KPIs &amp; Ratios'!M53</f>
        <v>18.56802003204761</v>
      </c>
      <c r="L245" s="7">
        <f>$O$161</f>
        <v>0</v>
      </c>
    </row>
  </sheetData>
  <mergeCells count="80">
    <mergeCell ref="B154:H154"/>
    <mergeCell ref="B155:H155"/>
    <mergeCell ref="B156:H156"/>
    <mergeCell ref="B188:H188"/>
    <mergeCell ref="B203:H203"/>
    <mergeCell ref="B123:C123"/>
    <mergeCell ref="D123:E123"/>
    <mergeCell ref="F123:H123"/>
    <mergeCell ref="B124:C124"/>
    <mergeCell ref="D124:E124"/>
    <mergeCell ref="F124:H124"/>
    <mergeCell ref="B103:H105"/>
    <mergeCell ref="B106:H108"/>
    <mergeCell ref="B110:H110"/>
    <mergeCell ref="B111:C111"/>
    <mergeCell ref="B122:C122"/>
    <mergeCell ref="D122:E122"/>
    <mergeCell ref="F122:H122"/>
    <mergeCell ref="B119:H119"/>
    <mergeCell ref="B120:C120"/>
    <mergeCell ref="D120:E120"/>
    <mergeCell ref="F120:H120"/>
    <mergeCell ref="B121:C121"/>
    <mergeCell ref="D121:E121"/>
    <mergeCell ref="F121:H121"/>
    <mergeCell ref="F24:G24"/>
    <mergeCell ref="F25:G25"/>
    <mergeCell ref="F35:G42"/>
    <mergeCell ref="B45:C45"/>
    <mergeCell ref="B1:H1"/>
    <mergeCell ref="B2:H2"/>
    <mergeCell ref="F4:G4"/>
    <mergeCell ref="F5:G5"/>
    <mergeCell ref="F15:G22"/>
    <mergeCell ref="B3:H3"/>
    <mergeCell ref="B24:C24"/>
    <mergeCell ref="B25:C25"/>
    <mergeCell ref="B35:C42"/>
    <mergeCell ref="D24:E24"/>
    <mergeCell ref="D25:E25"/>
    <mergeCell ref="D35:E42"/>
    <mergeCell ref="B4:C4"/>
    <mergeCell ref="B5:C5"/>
    <mergeCell ref="B15:C22"/>
    <mergeCell ref="D4:E4"/>
    <mergeCell ref="D5:E5"/>
    <mergeCell ref="D15:E22"/>
    <mergeCell ref="B55:C62"/>
    <mergeCell ref="D44:E44"/>
    <mergeCell ref="D45:E45"/>
    <mergeCell ref="D55:E62"/>
    <mergeCell ref="F44:G44"/>
    <mergeCell ref="F45:G45"/>
    <mergeCell ref="F55:G62"/>
    <mergeCell ref="B44:C44"/>
    <mergeCell ref="B64:C64"/>
    <mergeCell ref="B65:C65"/>
    <mergeCell ref="B75:C82"/>
    <mergeCell ref="B84:H84"/>
    <mergeCell ref="B85:H85"/>
    <mergeCell ref="B86:H86"/>
    <mergeCell ref="B87:H87"/>
    <mergeCell ref="B90:H90"/>
    <mergeCell ref="B99:H99"/>
    <mergeCell ref="B100:H102"/>
    <mergeCell ref="B127:F127"/>
    <mergeCell ref="B135:G135"/>
    <mergeCell ref="B136:C136"/>
    <mergeCell ref="D136:E136"/>
    <mergeCell ref="B137:C137"/>
    <mergeCell ref="D137:E137"/>
    <mergeCell ref="B141:C141"/>
    <mergeCell ref="D141:E141"/>
    <mergeCell ref="B144:E144"/>
    <mergeCell ref="B138:C138"/>
    <mergeCell ref="D138:E138"/>
    <mergeCell ref="B139:C139"/>
    <mergeCell ref="D139:E139"/>
    <mergeCell ref="B140:C140"/>
    <mergeCell ref="D140:E140"/>
  </mergeCells>
  <conditionalFormatting sqref="E113:E117">
    <cfRule type="containsText" dxfId="10" priority="4" operator="containsText" text="GREEN">
      <formula>NOT(ISERROR(SEARCH("GREEN",E113)))</formula>
    </cfRule>
    <cfRule type="containsText" dxfId="9" priority="5" operator="containsText" text="YELLOW">
      <formula>NOT(ISERROR(SEARCH("YELLOW",E113)))</formula>
    </cfRule>
  </conditionalFormatting>
  <conditionalFormatting sqref="H92:H97">
    <cfRule type="containsText" dxfId="8" priority="1" operator="containsText" text="GREEN">
      <formula>NOT(ISERROR(SEARCH("GREEN",H92)))</formula>
    </cfRule>
    <cfRule type="containsText" dxfId="7" priority="2" operator="containsText" text="YELLOW">
      <formula>NOT(ISERROR(SEARCH("YELLOW",H92)))</formula>
    </cfRule>
    <cfRule type="containsText" dxfId="6" priority="3" operator="containsText" text="RED">
      <formula>NOT(ISERROR(SEARCH("RED",H92)))</formula>
    </cfRule>
  </conditionalFormatting>
  <hyperlinks>
    <hyperlink ref="J1" location="Home!A1" tooltip="Back to Home / Index" display="⌂ Home" xr:uid="{F9866C26-CC78-4248-89A0-EB1B198694B2}"/>
  </hyperlinks>
  <pageMargins left="0.25" right="0.25" top="0.75" bottom="0.75" header="0.3" footer="0.3"/>
  <pageSetup scale="52" orientation="portrait" r:id="rId1"/>
  <rowBreaks count="3" manualBreakCount="3">
    <brk id="82" max="16383" man="1"/>
    <brk id="151" max="16383" man="1"/>
    <brk id="208" max="16383"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9229-53EC-48D0-A7F8-2A82D8758053}">
  <sheetPr>
    <tabColor rgb="FFA9DFD8"/>
  </sheetPr>
  <dimension ref="B1:L30"/>
  <sheetViews>
    <sheetView showGridLines="0" zoomScaleNormal="100" workbookViewId="0">
      <selection activeCell="H3" sqref="H1:M1048576"/>
    </sheetView>
  </sheetViews>
  <sheetFormatPr defaultRowHeight="14.4" x14ac:dyDescent="0.3"/>
  <cols>
    <col min="1" max="1" width="1.77734375" customWidth="1"/>
    <col min="2" max="2" width="41.77734375" customWidth="1"/>
    <col min="3" max="3" width="9.109375" bestFit="1" customWidth="1"/>
    <col min="4" max="4" width="10.109375" bestFit="1" customWidth="1"/>
    <col min="5" max="7" width="10.6640625" bestFit="1" customWidth="1"/>
    <col min="8" max="8" width="13.77734375" customWidth="1"/>
    <col min="9" max="9" width="77.77734375" customWidth="1"/>
    <col min="10" max="12" width="8.88671875" customWidth="1"/>
  </cols>
  <sheetData>
    <row r="1" spans="2:12" ht="17.399999999999999" x14ac:dyDescent="0.3">
      <c r="B1" s="505" t="s">
        <v>426</v>
      </c>
      <c r="C1" s="549"/>
      <c r="D1" s="549"/>
      <c r="E1" s="549"/>
      <c r="F1" s="549"/>
      <c r="G1" s="549"/>
      <c r="H1" s="550"/>
      <c r="I1" s="196"/>
      <c r="L1" s="269" t="s">
        <v>891</v>
      </c>
    </row>
    <row r="2" spans="2:12" ht="25.8" customHeight="1" x14ac:dyDescent="0.3">
      <c r="B2" s="508" t="s">
        <v>427</v>
      </c>
      <c r="C2" s="551"/>
      <c r="D2" s="551"/>
      <c r="E2" s="551"/>
      <c r="F2" s="551"/>
      <c r="G2" s="551"/>
      <c r="H2" s="552"/>
      <c r="I2" s="199"/>
    </row>
    <row r="3" spans="2:12" x14ac:dyDescent="0.3">
      <c r="B3" s="26"/>
      <c r="H3" s="35"/>
      <c r="I3" s="35"/>
    </row>
    <row r="4" spans="2:12" ht="15" thickBot="1" x14ac:dyDescent="0.35">
      <c r="B4" s="47" t="s">
        <v>3</v>
      </c>
      <c r="C4" s="48" t="s">
        <v>256</v>
      </c>
      <c r="D4" s="48" t="s">
        <v>257</v>
      </c>
      <c r="E4" s="48" t="s">
        <v>258</v>
      </c>
      <c r="F4" s="48" t="s">
        <v>259</v>
      </c>
      <c r="G4" s="48" t="s">
        <v>260</v>
      </c>
      <c r="H4" s="64" t="s">
        <v>261</v>
      </c>
      <c r="I4" s="97" t="s">
        <v>406</v>
      </c>
    </row>
    <row r="5" spans="2:12" x14ac:dyDescent="0.3">
      <c r="B5" s="26"/>
      <c r="H5" s="35"/>
      <c r="I5" s="93"/>
    </row>
    <row r="6" spans="2:12" x14ac:dyDescent="0.3">
      <c r="B6" s="28" t="s">
        <v>428</v>
      </c>
      <c r="C6" s="4"/>
      <c r="D6" s="4"/>
      <c r="E6" s="4"/>
      <c r="F6" s="4"/>
      <c r="G6" s="4"/>
      <c r="H6" s="81"/>
      <c r="I6" s="206"/>
    </row>
    <row r="7" spans="2:12" ht="28.8" x14ac:dyDescent="0.3">
      <c r="B7" s="114" t="s">
        <v>527</v>
      </c>
      <c r="D7" s="234">
        <v>7</v>
      </c>
      <c r="E7" s="234">
        <v>8</v>
      </c>
      <c r="F7" s="234">
        <v>8.5</v>
      </c>
      <c r="G7" s="234">
        <v>9</v>
      </c>
      <c r="H7" s="235">
        <v>9.5</v>
      </c>
      <c r="I7" s="94" t="s">
        <v>429</v>
      </c>
    </row>
    <row r="8" spans="2:12" ht="28.8" x14ac:dyDescent="0.3">
      <c r="B8" s="114" t="s">
        <v>430</v>
      </c>
      <c r="C8" s="236">
        <v>0.27</v>
      </c>
      <c r="D8" s="98">
        <v>0.28000000000000003</v>
      </c>
      <c r="E8" s="98">
        <v>0.3</v>
      </c>
      <c r="F8" s="98">
        <v>0.32</v>
      </c>
      <c r="G8" s="98">
        <v>0.33</v>
      </c>
      <c r="H8" s="121">
        <v>0.34</v>
      </c>
      <c r="I8" s="94" t="s">
        <v>431</v>
      </c>
    </row>
    <row r="9" spans="2:12" ht="28.8" x14ac:dyDescent="0.3">
      <c r="B9" s="142" t="s">
        <v>528</v>
      </c>
      <c r="C9" s="237">
        <v>22</v>
      </c>
      <c r="D9" s="238">
        <f>C9+D7*'Scenario Analysis'!$C$16</f>
        <v>29</v>
      </c>
      <c r="E9" s="238">
        <f>D9+E7*'Scenario Analysis'!$C$16</f>
        <v>37</v>
      </c>
      <c r="F9" s="238">
        <f>E9+F7*'Scenario Analysis'!$C$16</f>
        <v>45.5</v>
      </c>
      <c r="G9" s="238">
        <f>F9+G7*'Scenario Analysis'!$C$16</f>
        <v>54.5</v>
      </c>
      <c r="H9" s="239">
        <f>G9+H7*'Scenario Analysis'!$C$16</f>
        <v>64</v>
      </c>
      <c r="I9" s="94" t="s">
        <v>432</v>
      </c>
    </row>
    <row r="10" spans="2:12" ht="36" x14ac:dyDescent="0.3">
      <c r="B10" s="114" t="s">
        <v>433</v>
      </c>
      <c r="D10" s="234">
        <v>3.8</v>
      </c>
      <c r="E10" s="234">
        <v>3.95</v>
      </c>
      <c r="F10" s="234">
        <v>4.0999999999999996</v>
      </c>
      <c r="G10" s="234">
        <v>4.25</v>
      </c>
      <c r="H10" s="235">
        <v>4.4000000000000004</v>
      </c>
      <c r="I10" s="94" t="s">
        <v>434</v>
      </c>
    </row>
    <row r="11" spans="2:12" x14ac:dyDescent="0.3">
      <c r="B11" s="114"/>
      <c r="H11" s="35"/>
      <c r="I11" s="93"/>
    </row>
    <row r="12" spans="2:12" ht="28.8" x14ac:dyDescent="0.3">
      <c r="B12" s="114" t="s">
        <v>529</v>
      </c>
      <c r="D12" s="65">
        <f>D7*'Scenario Analysis'!$C$16*D10*1000</f>
        <v>26599.999999999996</v>
      </c>
      <c r="E12" s="65">
        <f>E7*'Scenario Analysis'!$C$16*E10*1000</f>
        <v>31600</v>
      </c>
      <c r="F12" s="65">
        <f>F7*'Scenario Analysis'!$C$16*F10*1000</f>
        <v>34849.999999999993</v>
      </c>
      <c r="G12" s="65">
        <f>G7*'Scenario Analysis'!$C$16*G10*1000</f>
        <v>38250</v>
      </c>
      <c r="H12" s="72">
        <f>H7*'Scenario Analysis'!$C$16*H10*1000</f>
        <v>41800.000000000007</v>
      </c>
      <c r="I12" s="93"/>
    </row>
    <row r="13" spans="2:12" ht="28.8" x14ac:dyDescent="0.3">
      <c r="B13" s="114" t="s">
        <v>435</v>
      </c>
      <c r="D13" s="65">
        <f>C9*D8*D10*1000</f>
        <v>23407.999999999996</v>
      </c>
      <c r="E13" s="65">
        <f>D9*E8*E10*1000</f>
        <v>34365</v>
      </c>
      <c r="F13" s="65">
        <f>E9*F8*F10*1000</f>
        <v>48544</v>
      </c>
      <c r="G13" s="65">
        <f>F9*G8*G10*1000</f>
        <v>63813.75</v>
      </c>
      <c r="H13" s="72">
        <f>G9*H8*H10*1000</f>
        <v>81532.000000000015</v>
      </c>
      <c r="I13" s="93"/>
    </row>
    <row r="14" spans="2:12" x14ac:dyDescent="0.3">
      <c r="B14" s="142" t="s">
        <v>436</v>
      </c>
      <c r="D14" s="79">
        <f>D12+D13</f>
        <v>50007.999999999993</v>
      </c>
      <c r="E14" s="79">
        <f>E12+E13</f>
        <v>65965</v>
      </c>
      <c r="F14" s="79">
        <f>F12+F13</f>
        <v>83394</v>
      </c>
      <c r="G14" s="79">
        <f>G12+G13</f>
        <v>102063.75</v>
      </c>
      <c r="H14" s="87">
        <f>H12+H13</f>
        <v>123332.00000000003</v>
      </c>
      <c r="I14" s="93"/>
    </row>
    <row r="15" spans="2:12" x14ac:dyDescent="0.3">
      <c r="B15" s="114"/>
      <c r="H15" s="35"/>
      <c r="I15" s="93"/>
    </row>
    <row r="16" spans="2:12" ht="28.8" x14ac:dyDescent="0.3">
      <c r="B16" s="141" t="s">
        <v>437</v>
      </c>
      <c r="C16" s="4"/>
      <c r="D16" s="4"/>
      <c r="E16" s="4"/>
      <c r="F16" s="4"/>
      <c r="G16" s="4"/>
      <c r="H16" s="81"/>
      <c r="I16" s="206"/>
    </row>
    <row r="17" spans="2:9" ht="36" x14ac:dyDescent="0.3">
      <c r="B17" s="114" t="s">
        <v>438</v>
      </c>
      <c r="D17" s="98">
        <v>0.35</v>
      </c>
      <c r="E17" s="98">
        <v>0.35</v>
      </c>
      <c r="F17" s="98">
        <v>0.35</v>
      </c>
      <c r="G17" s="98">
        <v>0.35</v>
      </c>
      <c r="H17" s="121">
        <v>0.35</v>
      </c>
      <c r="I17" s="94" t="s">
        <v>439</v>
      </c>
    </row>
    <row r="18" spans="2:9" x14ac:dyDescent="0.3">
      <c r="B18" s="114" t="s">
        <v>440</v>
      </c>
      <c r="D18" s="65">
        <f>C21</f>
        <v>55951.49</v>
      </c>
      <c r="E18" s="65">
        <f>D21</f>
        <v>86376.468499999988</v>
      </c>
      <c r="F18" s="65">
        <f>E21</f>
        <v>122109.70452499999</v>
      </c>
      <c r="G18" s="65">
        <f>F21</f>
        <v>162765.30794125001</v>
      </c>
      <c r="H18" s="72">
        <f>G21</f>
        <v>207861.20016181254</v>
      </c>
      <c r="I18" s="93"/>
    </row>
    <row r="19" spans="2:9" x14ac:dyDescent="0.3">
      <c r="B19" s="114" t="s">
        <v>441</v>
      </c>
      <c r="D19" s="65">
        <f>D14</f>
        <v>50007.999999999993</v>
      </c>
      <c r="E19" s="65">
        <f>E14</f>
        <v>65965</v>
      </c>
      <c r="F19" s="65">
        <f>F14</f>
        <v>83394</v>
      </c>
      <c r="G19" s="65">
        <f>G14</f>
        <v>102063.75</v>
      </c>
      <c r="H19" s="72">
        <f>H14</f>
        <v>123332.00000000003</v>
      </c>
      <c r="I19" s="93"/>
    </row>
    <row r="20" spans="2:9" x14ac:dyDescent="0.3">
      <c r="B20" s="114" t="s">
        <v>442</v>
      </c>
      <c r="D20" s="65">
        <f>-D18*D17</f>
        <v>-19583.021499999999</v>
      </c>
      <c r="E20" s="65">
        <f>-E18*E17</f>
        <v>-30231.763974999994</v>
      </c>
      <c r="F20" s="65">
        <f>-F18*F17</f>
        <v>-42738.396583749993</v>
      </c>
      <c r="G20" s="65">
        <f>-G18*G17</f>
        <v>-56967.857779437501</v>
      </c>
      <c r="H20" s="72">
        <f>-H18*H17</f>
        <v>-72751.420056634379</v>
      </c>
      <c r="I20" s="93"/>
    </row>
    <row r="21" spans="2:9" x14ac:dyDescent="0.3">
      <c r="B21" s="142" t="s">
        <v>443</v>
      </c>
      <c r="C21" s="240">
        <f>'Balance Sheet'!H14</f>
        <v>55951.49</v>
      </c>
      <c r="D21" s="79">
        <f>D18+D19+D20</f>
        <v>86376.468499999988</v>
      </c>
      <c r="E21" s="79">
        <f>E18+E19+E20</f>
        <v>122109.70452499999</v>
      </c>
      <c r="F21" s="79">
        <f>F18+F19+F20</f>
        <v>162765.30794125001</v>
      </c>
      <c r="G21" s="79">
        <f>G18+G19+G20</f>
        <v>207861.20016181254</v>
      </c>
      <c r="H21" s="87">
        <f>H18+H19+H20</f>
        <v>258441.78010517822</v>
      </c>
      <c r="I21" s="93"/>
    </row>
    <row r="22" spans="2:9" x14ac:dyDescent="0.3">
      <c r="B22" s="114" t="s">
        <v>444</v>
      </c>
      <c r="D22" s="66">
        <f>IFERROR(D21/C21-1,"")</f>
        <v>0.54377423192840779</v>
      </c>
      <c r="E22" s="66">
        <f>IFERROR(E21/D21-1,"")</f>
        <v>0.41369179182175064</v>
      </c>
      <c r="F22" s="66">
        <f>IFERROR(F21/E21-1,"")</f>
        <v>0.33294326257194773</v>
      </c>
      <c r="G22" s="66">
        <f>IFERROR(G21/F21-1,"")</f>
        <v>0.2770608355733879</v>
      </c>
      <c r="H22" s="71">
        <f>IFERROR(H21/G21-1,"")</f>
        <v>0.24333824640669111</v>
      </c>
      <c r="I22" s="93"/>
    </row>
    <row r="23" spans="2:9" ht="28.8" x14ac:dyDescent="0.3">
      <c r="B23" s="114" t="s">
        <v>445</v>
      </c>
      <c r="D23" s="241">
        <f>IFERROR(D21/35631,"")</f>
        <v>2.4241943391990119</v>
      </c>
      <c r="E23" s="241">
        <f>IFERROR(E21/35631,"")</f>
        <v>3.4270636391063958</v>
      </c>
      <c r="F23" s="241">
        <f>IFERROR(F21/35631,"")</f>
        <v>4.5680813881521711</v>
      </c>
      <c r="G23" s="241">
        <f>IFERROR(G21/35631,"")</f>
        <v>5.8337178345208534</v>
      </c>
      <c r="H23" s="242">
        <f>IFERROR(H21/35631,"")</f>
        <v>7.2532845024045978</v>
      </c>
      <c r="I23" s="94" t="s">
        <v>446</v>
      </c>
    </row>
    <row r="24" spans="2:9" x14ac:dyDescent="0.3">
      <c r="B24" s="114"/>
      <c r="H24" s="35"/>
      <c r="I24" s="93"/>
    </row>
    <row r="25" spans="2:9" x14ac:dyDescent="0.3">
      <c r="B25" s="141" t="s">
        <v>447</v>
      </c>
      <c r="C25" s="4"/>
      <c r="D25" s="4"/>
      <c r="E25" s="4"/>
      <c r="F25" s="4"/>
      <c r="G25" s="4"/>
      <c r="H25" s="81"/>
      <c r="I25" s="206"/>
    </row>
    <row r="26" spans="2:9" ht="28.8" x14ac:dyDescent="0.3">
      <c r="B26" s="114" t="s">
        <v>448</v>
      </c>
      <c r="D26" s="99">
        <f>Assumptions!D13</f>
        <v>150</v>
      </c>
      <c r="E26" s="99">
        <f>Assumptions!E13</f>
        <v>130</v>
      </c>
      <c r="F26" s="99">
        <f>Assumptions!F13</f>
        <v>100</v>
      </c>
      <c r="G26" s="99">
        <f>Assumptions!G13</f>
        <v>90</v>
      </c>
      <c r="H26" s="243">
        <f>Assumptions!H13</f>
        <v>80</v>
      </c>
      <c r="I26" s="93"/>
    </row>
    <row r="27" spans="2:9" x14ac:dyDescent="0.3">
      <c r="B27" s="142" t="s">
        <v>449</v>
      </c>
      <c r="C27" s="244">
        <v>500</v>
      </c>
      <c r="D27" s="100">
        <f>C27+D26</f>
        <v>650</v>
      </c>
      <c r="E27" s="100">
        <f>D27+E26</f>
        <v>780</v>
      </c>
      <c r="F27" s="100">
        <f>E27+F26</f>
        <v>880</v>
      </c>
      <c r="G27" s="100">
        <f>F27+G26</f>
        <v>970</v>
      </c>
      <c r="H27" s="245">
        <f>G27+H26</f>
        <v>1050</v>
      </c>
      <c r="I27" s="94" t="s">
        <v>450</v>
      </c>
    </row>
    <row r="28" spans="2:9" x14ac:dyDescent="0.3">
      <c r="B28" s="114" t="s">
        <v>451</v>
      </c>
      <c r="C28" s="101">
        <f>Assumptions!C14</f>
        <v>11.72</v>
      </c>
      <c r="D28" s="101">
        <f>Assumptions!D14</f>
        <v>11.5</v>
      </c>
      <c r="E28" s="101">
        <f>Assumptions!E14</f>
        <v>11.2</v>
      </c>
      <c r="F28" s="101">
        <f>Assumptions!F14</f>
        <v>11</v>
      </c>
      <c r="G28" s="101">
        <f>Assumptions!G14</f>
        <v>10.8</v>
      </c>
      <c r="H28" s="246">
        <f>Assumptions!H14</f>
        <v>10.6</v>
      </c>
      <c r="I28" s="93"/>
    </row>
    <row r="29" spans="2:9" x14ac:dyDescent="0.3">
      <c r="B29" s="142" t="s">
        <v>452</v>
      </c>
      <c r="C29" s="244">
        <v>5860</v>
      </c>
      <c r="D29" s="100">
        <f>ROUND(D27*D28,0)</f>
        <v>7475</v>
      </c>
      <c r="E29" s="100">
        <f>ROUND(E27*E28,0)</f>
        <v>8736</v>
      </c>
      <c r="F29" s="100">
        <f>ROUND(F27*F28,0)</f>
        <v>9680</v>
      </c>
      <c r="G29" s="100">
        <f>ROUND(G27*G28,0)</f>
        <v>10476</v>
      </c>
      <c r="H29" s="245">
        <f>ROUND(H27*H28,0)</f>
        <v>11130</v>
      </c>
      <c r="I29" s="94" t="s">
        <v>453</v>
      </c>
    </row>
    <row r="30" spans="2:9" x14ac:dyDescent="0.3">
      <c r="B30" s="116" t="s">
        <v>454</v>
      </c>
      <c r="C30" s="102">
        <f>IFERROR(C21/C27,"")</f>
        <v>111.90298</v>
      </c>
      <c r="D30" s="102">
        <f>IFERROR(AVERAGE(C21,D21)/AVERAGE(C27,D27),"")</f>
        <v>123.76344217391302</v>
      </c>
      <c r="E30" s="102">
        <f>IFERROR(AVERAGE(D21,E21)/AVERAGE(D27,E27),"")</f>
        <v>145.79452659090907</v>
      </c>
      <c r="F30" s="102">
        <f>IFERROR(AVERAGE(E21,F21)/AVERAGE(E27,F27),"")</f>
        <v>171.61145329292168</v>
      </c>
      <c r="G30" s="102">
        <f>IFERROR(AVERAGE(F21,G21)/AVERAGE(F27,G27),"")</f>
        <v>200.33865302868244</v>
      </c>
      <c r="H30" s="247">
        <f>IFERROR(AVERAGE(G21,H21)/AVERAGE(G27,H27),"")</f>
        <v>230.84305953811423</v>
      </c>
      <c r="I30" s="103"/>
    </row>
  </sheetData>
  <mergeCells count="2">
    <mergeCell ref="B1:H1"/>
    <mergeCell ref="B2:H2"/>
  </mergeCells>
  <hyperlinks>
    <hyperlink ref="L1" location="Home!A1" tooltip="Back to Home / Index" display="⌂ Home" xr:uid="{F40F5A49-5520-49F3-9B69-7005875125E6}"/>
  </hyperlinks>
  <pageMargins left="0.25" right="0.25" top="0.75" bottom="0.75" header="0.3" footer="0.3"/>
  <pageSetup scale="93"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02AD-C18D-445B-B4B5-69E9D91A069A}">
  <sheetPr>
    <tabColor rgb="FFA9DFD8"/>
  </sheetPr>
  <dimension ref="B1:O95"/>
  <sheetViews>
    <sheetView showGridLines="0" view="pageBreakPreview" zoomScale="60" zoomScaleNormal="100" workbookViewId="0">
      <selection activeCell="M1" sqref="M1:P1048576"/>
    </sheetView>
  </sheetViews>
  <sheetFormatPr defaultRowHeight="14.4" x14ac:dyDescent="0.3"/>
  <cols>
    <col min="1" max="1" width="1.77734375" customWidth="1"/>
    <col min="2" max="2" width="48.109375" customWidth="1"/>
    <col min="3" max="3" width="9" bestFit="1" customWidth="1"/>
    <col min="4" max="8" width="16.6640625" customWidth="1"/>
    <col min="9" max="13" width="11.44140625" customWidth="1"/>
    <col min="14" max="15" width="8.88671875" customWidth="1"/>
  </cols>
  <sheetData>
    <row r="1" spans="2:15" ht="24" customHeight="1" x14ac:dyDescent="0.3">
      <c r="B1" s="505" t="s">
        <v>339</v>
      </c>
      <c r="C1" s="549"/>
      <c r="D1" s="549"/>
      <c r="E1" s="549"/>
      <c r="F1" s="549"/>
      <c r="G1" s="549"/>
      <c r="H1" s="579"/>
      <c r="I1" s="195"/>
      <c r="J1" s="195"/>
      <c r="K1" s="195"/>
      <c r="L1" s="195"/>
      <c r="M1" s="196"/>
      <c r="O1" s="269" t="s">
        <v>891</v>
      </c>
    </row>
    <row r="2" spans="2:15" ht="36" customHeight="1" x14ac:dyDescent="0.3">
      <c r="B2" s="582" t="s">
        <v>623</v>
      </c>
      <c r="C2" s="583"/>
      <c r="D2" s="583"/>
      <c r="E2" s="583"/>
      <c r="F2" s="583"/>
      <c r="G2" s="583"/>
      <c r="H2" s="583"/>
      <c r="I2" s="583"/>
      <c r="J2" s="583"/>
      <c r="K2" s="583"/>
      <c r="L2" s="583"/>
      <c r="M2" s="584"/>
    </row>
    <row r="3" spans="2:15" x14ac:dyDescent="0.3">
      <c r="B3" s="219"/>
      <c r="C3" s="218"/>
      <c r="D3" s="218"/>
      <c r="E3" s="218"/>
      <c r="F3" s="218"/>
      <c r="G3" s="218"/>
      <c r="H3" s="218"/>
      <c r="I3" s="218"/>
      <c r="J3" s="218"/>
      <c r="K3" s="218"/>
      <c r="L3" s="218"/>
      <c r="M3" s="248"/>
    </row>
    <row r="4" spans="2:15" ht="15" thickBot="1" x14ac:dyDescent="0.35">
      <c r="B4" s="47" t="s">
        <v>3</v>
      </c>
      <c r="C4" s="48" t="s">
        <v>4</v>
      </c>
      <c r="D4" s="48" t="s">
        <v>5</v>
      </c>
      <c r="E4" s="48" t="s">
        <v>6</v>
      </c>
      <c r="F4" s="48" t="s">
        <v>7</v>
      </c>
      <c r="G4" s="48" t="s">
        <v>8</v>
      </c>
      <c r="H4" s="152" t="s">
        <v>9</v>
      </c>
      <c r="I4" s="49" t="s">
        <v>257</v>
      </c>
      <c r="J4" s="49" t="s">
        <v>258</v>
      </c>
      <c r="K4" s="49" t="s">
        <v>259</v>
      </c>
      <c r="L4" s="49" t="s">
        <v>260</v>
      </c>
      <c r="M4" s="50" t="s">
        <v>261</v>
      </c>
    </row>
    <row r="5" spans="2:15" x14ac:dyDescent="0.3">
      <c r="B5" s="26"/>
      <c r="H5" s="151"/>
      <c r="I5" s="35"/>
      <c r="J5" s="35"/>
      <c r="K5" s="35"/>
      <c r="L5" s="35"/>
      <c r="M5" s="35"/>
    </row>
    <row r="6" spans="2:15" x14ac:dyDescent="0.3">
      <c r="B6" s="143" t="s">
        <v>340</v>
      </c>
      <c r="C6" s="4"/>
      <c r="D6" s="4"/>
      <c r="E6" s="4"/>
      <c r="F6" s="4"/>
      <c r="G6" s="4"/>
      <c r="H6" s="153"/>
      <c r="I6" s="81"/>
      <c r="J6" s="81"/>
      <c r="K6" s="81"/>
      <c r="L6" s="81"/>
      <c r="M6" s="81"/>
    </row>
    <row r="7" spans="2:15" x14ac:dyDescent="0.3">
      <c r="B7" s="129" t="s">
        <v>341</v>
      </c>
      <c r="C7" s="76"/>
      <c r="D7" s="76">
        <f>IFERROR('Balance Sheet'!D31/'Balance Sheet'!C31-1,"")</f>
        <v>0.24451056624831313</v>
      </c>
      <c r="E7" s="76">
        <f>IFERROR('Balance Sheet'!E31/'Balance Sheet'!D31-1,"")</f>
        <v>0.41221387926992992</v>
      </c>
      <c r="F7" s="76">
        <f>IFERROR('Balance Sheet'!F31/'Balance Sheet'!E31-1,"")</f>
        <v>3.7306944132819986E-2</v>
      </c>
      <c r="G7" s="76">
        <f>IFERROR('Balance Sheet'!G31/'Balance Sheet'!F31-1,"")</f>
        <v>0.45431500110018264</v>
      </c>
      <c r="H7" s="154">
        <f>IFERROR('Balance Sheet'!H31/'Balance Sheet'!G31-1,"")</f>
        <v>0.72057274434383856</v>
      </c>
      <c r="I7" s="82">
        <f>IFERROR('Balance Sheet'!I31/'Balance Sheet'!H31-1,"")</f>
        <v>0.54766135524810822</v>
      </c>
      <c r="J7" s="82">
        <f>IFERROR('Balance Sheet'!J31/'Balance Sheet'!I31-1,"")</f>
        <v>0.3966258173536874</v>
      </c>
      <c r="K7" s="82">
        <f>IFERROR('Balance Sheet'!K31/'Balance Sheet'!J31-1,"")</f>
        <v>0.32172306408029439</v>
      </c>
      <c r="L7" s="82">
        <f>IFERROR('Balance Sheet'!L31/'Balance Sheet'!K31-1,"")</f>
        <v>0.26821790540485058</v>
      </c>
      <c r="M7" s="82">
        <f>IFERROR('Balance Sheet'!M31/'Balance Sheet'!L31-1,"")</f>
        <v>0.23633682743970374</v>
      </c>
    </row>
    <row r="8" spans="2:15" ht="28.8" x14ac:dyDescent="0.3">
      <c r="B8" s="129" t="s">
        <v>565</v>
      </c>
      <c r="C8" s="76"/>
      <c r="D8" s="76"/>
      <c r="E8" s="76">
        <f>'Business Performance Scorecard'!E162</f>
        <v>0.37212069698257544</v>
      </c>
      <c r="F8" s="76">
        <f>'Business Performance Scorecard'!F162</f>
        <v>0.54884470048937617</v>
      </c>
      <c r="G8" s="76">
        <f>'Business Performance Scorecard'!G162</f>
        <v>0.42506899172099355</v>
      </c>
      <c r="H8" s="154">
        <f>'Business Performance Scorecard'!H162</f>
        <v>0.69369369369369371</v>
      </c>
      <c r="I8" s="82">
        <f>'Business Drivers'!D22</f>
        <v>0.54377423192840779</v>
      </c>
      <c r="J8" s="82">
        <f>'Business Drivers'!E22</f>
        <v>0.41369179182175064</v>
      </c>
      <c r="K8" s="82">
        <f>'Business Drivers'!F22</f>
        <v>0.33294326257194773</v>
      </c>
      <c r="L8" s="82">
        <f>'Business Drivers'!G22</f>
        <v>0.2770608355733879</v>
      </c>
      <c r="M8" s="82">
        <f>'Business Drivers'!H22</f>
        <v>0.24333824640669111</v>
      </c>
    </row>
    <row r="9" spans="2:15" x14ac:dyDescent="0.3">
      <c r="B9" s="129" t="s">
        <v>342</v>
      </c>
      <c r="C9" s="76"/>
      <c r="D9" s="76">
        <f>IFERROR('Profit &amp; Loss'!D15/'Profit &amp; Loss'!C15-1,"")</f>
        <v>-0.13239153190625619</v>
      </c>
      <c r="E9" s="76">
        <f>IFERROR('Profit &amp; Loss'!E15/'Profit &amp; Loss'!D15-1,"")</f>
        <v>-1.6045530750316228E-2</v>
      </c>
      <c r="F9" s="76">
        <f>IFERROR('Profit &amp; Loss'!F15/'Profit &amp; Loss'!E15-1,"")</f>
        <v>0.56717688768498387</v>
      </c>
      <c r="G9" s="76">
        <f>IFERROR('Profit &amp; Loss'!G15/'Profit &amp; Loss'!F15-1,"")</f>
        <v>0.34172139559563197</v>
      </c>
      <c r="H9" s="154">
        <f>IFERROR('Profit &amp; Loss'!H15/'Profit &amp; Loss'!G15-1,"")</f>
        <v>0.60926059239753338</v>
      </c>
      <c r="I9" s="82">
        <f>IFERROR('Profit &amp; Loss'!I15/'Profit &amp; Loss'!H15-1,"")</f>
        <v>0.65553092367911781</v>
      </c>
      <c r="J9" s="82">
        <f>IFERROR('Profit &amp; Loss'!J15/'Profit &amp; Loss'!I15-1,"")</f>
        <v>0.41809890034691577</v>
      </c>
      <c r="K9" s="82">
        <f>IFERROR('Profit &amp; Loss'!K15/'Profit &amp; Loss'!J15-1,"")</f>
        <v>0.31711664608292933</v>
      </c>
      <c r="L9" s="82">
        <f>IFERROR('Profit &amp; Loss'!L15/'Profit &amp; Loss'!K15-1,"")</f>
        <v>0.25681577420950852</v>
      </c>
      <c r="M9" s="82">
        <f>IFERROR('Profit &amp; Loss'!M15/'Profit &amp; Loss'!L15-1,"")</f>
        <v>0.23602942743322597</v>
      </c>
    </row>
    <row r="10" spans="2:15" x14ac:dyDescent="0.3">
      <c r="B10" s="129" t="s">
        <v>343</v>
      </c>
      <c r="C10" s="76"/>
      <c r="D10" s="76">
        <f>IFERROR('Profit &amp; Loss'!D38/'Profit &amp; Loss'!C38-1,"")</f>
        <v>-1.6716170117452904</v>
      </c>
      <c r="E10" s="76">
        <f>IFERROR('Profit &amp; Loss'!E38/'Profit &amp; Loss'!D38-1,"")</f>
        <v>0.82475160491196586</v>
      </c>
      <c r="F10" s="76">
        <f>IFERROR('Profit &amp; Loss'!F38/'Profit &amp; Loss'!E38-1,"")</f>
        <v>1.4569142957242738</v>
      </c>
      <c r="G10" s="76">
        <f>IFERROR('Profit &amp; Loss'!G38/'Profit &amp; Loss'!F38-1,"")</f>
        <v>-1.0584292895083958</v>
      </c>
      <c r="H10" s="154">
        <f>IFERROR('Profit &amp; Loss'!H38/'Profit &amp; Loss'!G38-1,"")</f>
        <v>-6.5095586739881712</v>
      </c>
      <c r="I10" s="82">
        <f>IFERROR('Profit &amp; Loss'!I38/'Profit &amp; Loss'!H38-1,"")</f>
        <v>2.288741537525691</v>
      </c>
      <c r="J10" s="82">
        <f>IFERROR('Profit &amp; Loss'!J38/'Profit &amp; Loss'!I38-1,"")</f>
        <v>0.74956606736104314</v>
      </c>
      <c r="K10" s="82">
        <f>IFERROR('Profit &amp; Loss'!K38/'Profit &amp; Loss'!J38-1,"")</f>
        <v>0.44824919425000886</v>
      </c>
      <c r="L10" s="82">
        <f>IFERROR('Profit &amp; Loss'!L38/'Profit &amp; Loss'!K38-1,"")</f>
        <v>0.31554433407496729</v>
      </c>
      <c r="M10" s="82">
        <f>IFERROR('Profit &amp; Loss'!M38/'Profit &amp; Loss'!L38-1,"")</f>
        <v>0.31864324318353954</v>
      </c>
    </row>
    <row r="11" spans="2:15" x14ac:dyDescent="0.3">
      <c r="B11" s="129" t="s">
        <v>344</v>
      </c>
      <c r="C11" s="76"/>
      <c r="D11" s="76">
        <f>IFERROR('Balance Sheet'!D55/'Balance Sheet'!C55-1,"")</f>
        <v>1.7608842237202826</v>
      </c>
      <c r="E11" s="76">
        <f>IFERROR('Balance Sheet'!E55/'Balance Sheet'!D55-1,"")</f>
        <v>0.13451963550220136</v>
      </c>
      <c r="F11" s="76">
        <f>IFERROR('Balance Sheet'!F55/'Balance Sheet'!E55-1,"")</f>
        <v>0.18825520102078053</v>
      </c>
      <c r="G11" s="76">
        <f>IFERROR('Balance Sheet'!G55/'Balance Sheet'!F55-1,"")</f>
        <v>9.2811629125710837E-4</v>
      </c>
      <c r="H11" s="154">
        <f>IFERROR('Balance Sheet'!H55/'Balance Sheet'!G55-1,"")</f>
        <v>0.26589240408775416</v>
      </c>
      <c r="I11" s="82">
        <f>IFERROR('Balance Sheet'!I55/'Balance Sheet'!H55-1,"")</f>
        <v>0.65364961795331644</v>
      </c>
      <c r="J11" s="82">
        <f>IFERROR('Balance Sheet'!J55/'Balance Sheet'!I55-1,"")</f>
        <v>0.4324947992740229</v>
      </c>
      <c r="K11" s="82">
        <f>IFERROR('Balance Sheet'!K55/'Balance Sheet'!J55-1,"")</f>
        <v>0.33728962900507176</v>
      </c>
      <c r="L11" s="82">
        <f>IFERROR('Balance Sheet'!L55/'Balance Sheet'!K55-1,"")</f>
        <v>0.27664925568972532</v>
      </c>
      <c r="M11" s="82">
        <f>IFERROR('Balance Sheet'!M55/'Balance Sheet'!L55-1,"")</f>
        <v>0.24009602783679407</v>
      </c>
    </row>
    <row r="12" spans="2:15" x14ac:dyDescent="0.3">
      <c r="B12" s="129" t="s">
        <v>379</v>
      </c>
      <c r="C12" s="15">
        <v>3680.21</v>
      </c>
      <c r="D12" s="15">
        <v>7524</v>
      </c>
      <c r="E12" s="15">
        <v>15751</v>
      </c>
      <c r="F12" s="15">
        <v>33289</v>
      </c>
      <c r="H12" s="151"/>
      <c r="I12" s="72">
        <f>'Business Drivers'!D14</f>
        <v>50007.999999999993</v>
      </c>
      <c r="J12" s="72">
        <f>'Business Drivers'!E14</f>
        <v>65965</v>
      </c>
      <c r="K12" s="72">
        <f>'Business Drivers'!F14</f>
        <v>83394</v>
      </c>
      <c r="L12" s="72">
        <f>'Business Drivers'!G14</f>
        <v>102063.75</v>
      </c>
      <c r="M12" s="72">
        <f>'Business Drivers'!H14</f>
        <v>123332.00000000003</v>
      </c>
    </row>
    <row r="13" spans="2:15" x14ac:dyDescent="0.3">
      <c r="B13" s="129" t="s">
        <v>380</v>
      </c>
      <c r="D13" s="76">
        <f>IFERROR(D12/C12-1,"")</f>
        <v>1.0444485504903254</v>
      </c>
      <c r="E13" s="76">
        <f>IFERROR(E12/D12-1,"")</f>
        <v>1.0934343434343434</v>
      </c>
      <c r="F13" s="76">
        <f>IFERROR(F12/E12-1,"")</f>
        <v>1.1134531140879944</v>
      </c>
      <c r="H13" s="151"/>
      <c r="I13" s="82" t="str">
        <f>IFERROR(I12/H12-1,"")</f>
        <v/>
      </c>
      <c r="J13" s="82">
        <f>IFERROR(J12/I12-1,"")</f>
        <v>0.31908894576867719</v>
      </c>
      <c r="K13" s="82">
        <f>IFERROR(K12/J12-1,"")</f>
        <v>0.26421587205336161</v>
      </c>
      <c r="L13" s="82">
        <f>IFERROR(L12/K12-1,"")</f>
        <v>0.2238740197136484</v>
      </c>
      <c r="M13" s="82">
        <f>IFERROR(M12/L12-1,"")</f>
        <v>0.20838201614187235</v>
      </c>
    </row>
    <row r="14" spans="2:15" ht="28.8" x14ac:dyDescent="0.3">
      <c r="B14" s="129" t="s">
        <v>381</v>
      </c>
      <c r="E14" s="67">
        <f>'Customer Analytics'!C5</f>
        <v>11</v>
      </c>
      <c r="F14" s="67">
        <f>'Customer Analytics'!D5</f>
        <v>15</v>
      </c>
      <c r="G14" s="67">
        <f>'Customer Analytics'!E5</f>
        <v>18</v>
      </c>
      <c r="H14" s="155">
        <f>'Customer Analytics'!F5</f>
        <v>22</v>
      </c>
      <c r="I14" s="74">
        <f>'Business Drivers'!D9</f>
        <v>29</v>
      </c>
      <c r="J14" s="74">
        <f>'Business Drivers'!E9</f>
        <v>37</v>
      </c>
      <c r="K14" s="74">
        <f>'Business Drivers'!F9</f>
        <v>45.5</v>
      </c>
      <c r="L14" s="74">
        <f>'Business Drivers'!G9</f>
        <v>54.5</v>
      </c>
      <c r="M14" s="74">
        <f>'Business Drivers'!H9</f>
        <v>64</v>
      </c>
    </row>
    <row r="15" spans="2:15" x14ac:dyDescent="0.3">
      <c r="B15" s="129" t="s">
        <v>382</v>
      </c>
      <c r="F15" s="76">
        <f t="shared" ref="F15:M15" si="0">IFERROR(F14/E14-1,"")</f>
        <v>0.36363636363636354</v>
      </c>
      <c r="G15" s="76">
        <f t="shared" si="0"/>
        <v>0.19999999999999996</v>
      </c>
      <c r="H15" s="154">
        <f t="shared" si="0"/>
        <v>0.22222222222222232</v>
      </c>
      <c r="I15" s="82">
        <f t="shared" si="0"/>
        <v>0.31818181818181812</v>
      </c>
      <c r="J15" s="82">
        <f t="shared" si="0"/>
        <v>0.27586206896551735</v>
      </c>
      <c r="K15" s="82">
        <f t="shared" si="0"/>
        <v>0.22972972972972983</v>
      </c>
      <c r="L15" s="82">
        <f t="shared" si="0"/>
        <v>0.19780219780219777</v>
      </c>
      <c r="M15" s="82">
        <f t="shared" si="0"/>
        <v>0.17431192660550465</v>
      </c>
    </row>
    <row r="16" spans="2:15" ht="40.049999999999997" customHeight="1" x14ac:dyDescent="0.3">
      <c r="B16" s="144" t="s">
        <v>393</v>
      </c>
      <c r="C16" s="77"/>
      <c r="D16" s="77"/>
      <c r="E16" s="77"/>
      <c r="F16" s="77"/>
      <c r="G16" s="77"/>
      <c r="H16" s="156"/>
      <c r="I16" s="83"/>
      <c r="J16" s="83"/>
      <c r="K16" s="83"/>
      <c r="L16" s="83"/>
      <c r="M16" s="83"/>
    </row>
    <row r="17" spans="2:13" x14ac:dyDescent="0.3">
      <c r="B17" s="129" t="s">
        <v>394</v>
      </c>
      <c r="H17" s="157">
        <v>13</v>
      </c>
      <c r="I17" s="84"/>
      <c r="J17" s="84"/>
      <c r="K17" s="84"/>
      <c r="L17" s="84"/>
      <c r="M17" s="84"/>
    </row>
    <row r="18" spans="2:13" ht="28.8" x14ac:dyDescent="0.3">
      <c r="B18" s="129" t="s">
        <v>395</v>
      </c>
      <c r="E18" s="76">
        <f>'Customer Analytics'!C8</f>
        <v>0.18</v>
      </c>
      <c r="F18" s="76">
        <f>'Customer Analytics'!D8</f>
        <v>0.21</v>
      </c>
      <c r="G18" s="76">
        <f>'Customer Analytics'!E8</f>
        <v>0.24</v>
      </c>
      <c r="H18" s="154">
        <f>'Customer Analytics'!F8</f>
        <v>0.27</v>
      </c>
      <c r="I18" s="82"/>
      <c r="J18" s="82"/>
      <c r="K18" s="82"/>
      <c r="L18" s="82"/>
      <c r="M18" s="82"/>
    </row>
    <row r="19" spans="2:13" x14ac:dyDescent="0.3">
      <c r="B19" s="129"/>
      <c r="H19" s="151"/>
      <c r="I19" s="35"/>
      <c r="J19" s="35"/>
      <c r="K19" s="35"/>
      <c r="L19" s="35"/>
      <c r="M19" s="35"/>
    </row>
    <row r="20" spans="2:13" x14ac:dyDescent="0.3">
      <c r="B20" s="143" t="s">
        <v>345</v>
      </c>
      <c r="C20" s="4"/>
      <c r="D20" s="4"/>
      <c r="E20" s="4"/>
      <c r="F20" s="4"/>
      <c r="G20" s="4"/>
      <c r="H20" s="153"/>
      <c r="I20" s="81"/>
      <c r="J20" s="81"/>
      <c r="K20" s="81"/>
      <c r="L20" s="81"/>
      <c r="M20" s="81"/>
    </row>
    <row r="21" spans="2:13" ht="28.8" x14ac:dyDescent="0.3">
      <c r="B21" s="129" t="s">
        <v>346</v>
      </c>
      <c r="C21" s="65">
        <f>'Profit &amp; Loss'!C8-'Profit &amp; Loss'!C17</f>
        <v>1065.2234999999998</v>
      </c>
      <c r="D21" s="65">
        <f>'Profit &amp; Loss'!D8-'Profit &amp; Loss'!D17</f>
        <v>1194.3175999999999</v>
      </c>
      <c r="E21" s="65">
        <f>'Profit &amp; Loss'!E8-'Profit &amp; Loss'!E17</f>
        <v>1219.9100000000001</v>
      </c>
      <c r="F21" s="65">
        <f>'Profit &amp; Loss'!F8-'Profit &amp; Loss'!F17</f>
        <v>1949.26</v>
      </c>
      <c r="G21" s="65">
        <f>'Profit &amp; Loss'!G8-'Profit &amp; Loss'!G17</f>
        <v>2359.41</v>
      </c>
      <c r="H21" s="158">
        <f>'Profit &amp; Loss'!H8-'Profit &amp; Loss'!H17</f>
        <v>3374.1400000000003</v>
      </c>
      <c r="I21" s="72">
        <f>'Profit &amp; Loss'!I8-'Profit &amp; Loss'!I17</f>
        <v>5761.7376746432519</v>
      </c>
      <c r="J21" s="72">
        <f>'Profit &amp; Loss'!J8-'Profit &amp; Loss'!J17</f>
        <v>8195.5298159463509</v>
      </c>
      <c r="K21" s="72">
        <f>'Profit &amp; Loss'!K8-'Profit &amp; Loss'!K17</f>
        <v>10726.00828647971</v>
      </c>
      <c r="L21" s="72">
        <f>'Profit &amp; Loss'!L8-'Profit &amp; Loss'!L17</f>
        <v>13286.769345368069</v>
      </c>
      <c r="M21" s="72">
        <f>'Profit &amp; Loss'!M8-'Profit &amp; Loss'!M17</f>
        <v>16306.53528302409</v>
      </c>
    </row>
    <row r="22" spans="2:13" x14ac:dyDescent="0.3">
      <c r="B22" s="129" t="s">
        <v>347</v>
      </c>
      <c r="C22" s="65"/>
      <c r="D22" s="65">
        <f>AVERAGE('Balance Sheet'!C31,'Balance Sheet'!D31)</f>
        <v>14827.441500000001</v>
      </c>
      <c r="E22" s="65">
        <f>AVERAGE('Balance Sheet'!D31,'Balance Sheet'!E31)</f>
        <v>19831.655300000002</v>
      </c>
      <c r="F22" s="65">
        <f>AVERAGE('Balance Sheet'!E31,'Balance Sheet'!F31)</f>
        <v>23653.755000000005</v>
      </c>
      <c r="G22" s="65">
        <f>AVERAGE('Balance Sheet'!F31,'Balance Sheet'!G31)</f>
        <v>29558.42</v>
      </c>
      <c r="H22" s="158">
        <f>AVERAGE('Balance Sheet'!G31,'Balance Sheet'!H31)</f>
        <v>47650.75</v>
      </c>
      <c r="I22" s="72">
        <f>AVERAGE('Balance Sheet'!H31,'Balance Sheet'!I31)</f>
        <v>76775.762116258833</v>
      </c>
      <c r="J22" s="72">
        <f>AVERAGE('Balance Sheet'!I31,'Balance Sheet'!J31)</f>
        <v>111778.58526074019</v>
      </c>
      <c r="K22" s="72">
        <f>AVERAGE('Balance Sheet'!J31,'Balance Sheet'!K31)</f>
        <v>151233.79728251556</v>
      </c>
      <c r="L22" s="72">
        <f>AVERAGE('Balance Sheet'!K31,'Balance Sheet'!L31)</f>
        <v>195282.66091319593</v>
      </c>
      <c r="M22" s="72">
        <f>AVERAGE('Balance Sheet'!L31,'Balance Sheet'!M31)</f>
        <v>244179.95304414319</v>
      </c>
    </row>
    <row r="23" spans="2:13" x14ac:dyDescent="0.3">
      <c r="B23" s="145" t="s">
        <v>348</v>
      </c>
      <c r="C23" s="76"/>
      <c r="D23" s="78">
        <f t="shared" ref="D23:M23" si="1">IFERROR(D21/D22,"")</f>
        <v>8.0547787020437731E-2</v>
      </c>
      <c r="E23" s="78">
        <f t="shared" si="1"/>
        <v>6.1513271663208059E-2</v>
      </c>
      <c r="F23" s="78">
        <f t="shared" si="1"/>
        <v>8.2408057409912278E-2</v>
      </c>
      <c r="G23" s="78">
        <f t="shared" si="1"/>
        <v>7.9821925529172402E-2</v>
      </c>
      <c r="H23" s="159">
        <f t="shared" si="1"/>
        <v>7.0809798376730695E-2</v>
      </c>
      <c r="I23" s="85">
        <f t="shared" si="1"/>
        <v>7.5046310395700866E-2</v>
      </c>
      <c r="J23" s="85">
        <f t="shared" si="1"/>
        <v>7.3319319589070286E-2</v>
      </c>
      <c r="K23" s="85">
        <f t="shared" si="1"/>
        <v>7.0923354959095269E-2</v>
      </c>
      <c r="L23" s="85">
        <f t="shared" si="1"/>
        <v>6.8038653730113308E-2</v>
      </c>
      <c r="M23" s="85">
        <f t="shared" si="1"/>
        <v>6.6780810954108802E-2</v>
      </c>
    </row>
    <row r="24" spans="2:13" x14ac:dyDescent="0.3">
      <c r="B24" s="129" t="s">
        <v>349</v>
      </c>
      <c r="C24" s="65"/>
      <c r="D24" s="65">
        <f>AVERAGE('Balance Sheet'!C14,'Balance Sheet'!D14)</f>
        <v>13105.963449999999</v>
      </c>
      <c r="E24" s="65">
        <f>AVERAGE('Balance Sheet'!D14,'Balance Sheet'!E14)</f>
        <v>15034.6144</v>
      </c>
      <c r="F24" s="65">
        <f>AVERAGE('Balance Sheet'!E14,'Balance Sheet'!F14)</f>
        <v>18632.47</v>
      </c>
      <c r="G24" s="65">
        <f>AVERAGE('Balance Sheet'!F14,'Balance Sheet'!G14)</f>
        <v>27370.684999999998</v>
      </c>
      <c r="H24" s="158">
        <f>AVERAGE('Balance Sheet'!G14,'Balance Sheet'!H14)</f>
        <v>44323.224999999999</v>
      </c>
      <c r="I24" s="72">
        <f>AVERAGE('Balance Sheet'!H14,'Balance Sheet'!I14)</f>
        <v>70381.175478249992</v>
      </c>
      <c r="J24" s="72">
        <f>AVERAGE('Balance Sheet'!I14,'Balance Sheet'!J14)</f>
        <v>101687.16964713125</v>
      </c>
      <c r="K24" s="72">
        <f>AVERAGE('Balance Sheet'!J14,'Balance Sheet'!K14)</f>
        <v>137680.56124290594</v>
      </c>
      <c r="L24" s="72">
        <f>AVERAGE('Balance Sheet'!K14,'Balance Sheet'!L14)</f>
        <v>177863.0842259184</v>
      </c>
      <c r="M24" s="72">
        <f>AVERAGE('Balance Sheet'!L14,'Balance Sheet'!M14)</f>
        <v>222470.17809946899</v>
      </c>
    </row>
    <row r="25" spans="2:13" x14ac:dyDescent="0.3">
      <c r="B25" s="129" t="s">
        <v>350</v>
      </c>
      <c r="C25" s="76"/>
      <c r="D25" s="76">
        <f>IFERROR('Profit &amp; Loss'!D8/D24,"")</f>
        <v>0.14577236593773654</v>
      </c>
      <c r="E25" s="76">
        <f>IFERROR('Profit &amp; Loss'!E8/E24,"")</f>
        <v>0.12073405753592191</v>
      </c>
      <c r="F25" s="76">
        <f>IFERROR('Profit &amp; Loss'!F8/F24,"")</f>
        <v>0.15561865925451643</v>
      </c>
      <c r="G25" s="76">
        <f>IFERROR('Profit &amp; Loss'!G8/G24,"")</f>
        <v>0.14155655950883217</v>
      </c>
      <c r="H25" s="154">
        <f>IFERROR('Profit &amp; Loss'!H8/H24,"")</f>
        <v>0.13854610083088495</v>
      </c>
      <c r="I25" s="82">
        <f>IFERROR('Profit &amp; Loss'!I8/I24,"")</f>
        <v>0.14661274014155709</v>
      </c>
      <c r="J25" s="82">
        <f>IFERROR('Profit &amp; Loss'!J8/J24,"")</f>
        <v>0.14351891356985683</v>
      </c>
      <c r="K25" s="82">
        <f>IFERROR('Profit &amp; Loss'!K8/K24,"")</f>
        <v>0.13966433001058573</v>
      </c>
      <c r="L25" s="82">
        <f>IFERROR('Profit &amp; Loss'!L8/L24,"")</f>
        <v>0.13544532375306992</v>
      </c>
      <c r="M25" s="82">
        <f>IFERROR('Profit &amp; Loss'!M8/M24,"")</f>
        <v>0.13309756615430421</v>
      </c>
    </row>
    <row r="26" spans="2:13" ht="28.8" x14ac:dyDescent="0.3">
      <c r="B26" s="129" t="s">
        <v>351</v>
      </c>
      <c r="C26" s="76"/>
      <c r="D26" s="76">
        <f>IFERROR(Treasury!D19/100,"")</f>
        <v>7.0413329474889305E-2</v>
      </c>
      <c r="E26" s="76">
        <f>IFERROR(Treasury!E19/100,"")</f>
        <v>5.6616740858282617E-2</v>
      </c>
      <c r="F26" s="76">
        <f>IFERROR(Treasury!F19/100,"")</f>
        <v>7.2542787687344623E-2</v>
      </c>
      <c r="G26" s="76">
        <f>IFERROR(Treasury!G19/100,"")</f>
        <v>7.3977775759582115E-2</v>
      </c>
      <c r="H26" s="154">
        <f>IFERROR(Treasury!H19/100,"")</f>
        <v>7.4796242439562108E-2</v>
      </c>
      <c r="I26" s="82">
        <f>'Funding Forecast'!D10</f>
        <v>7.4999999999999997E-2</v>
      </c>
      <c r="J26" s="82">
        <f>'Funding Forecast'!E10</f>
        <v>7.2999999999999995E-2</v>
      </c>
      <c r="K26" s="82">
        <f>'Funding Forecast'!F10</f>
        <v>7.1999999999999995E-2</v>
      </c>
      <c r="L26" s="82">
        <f>'Funding Forecast'!G10</f>
        <v>7.0999999999999994E-2</v>
      </c>
      <c r="M26" s="82">
        <f>'Funding Forecast'!H10</f>
        <v>7.0000000000000007E-2</v>
      </c>
    </row>
    <row r="27" spans="2:13" x14ac:dyDescent="0.3">
      <c r="B27" s="129" t="s">
        <v>352</v>
      </c>
      <c r="C27" s="76"/>
      <c r="D27" s="76">
        <f t="shared" ref="D27:M27" si="2">IFERROR(D25-D26,"")</f>
        <v>7.5359036462847237E-2</v>
      </c>
      <c r="E27" s="76">
        <f t="shared" si="2"/>
        <v>6.4117316677639286E-2</v>
      </c>
      <c r="F27" s="76">
        <f t="shared" si="2"/>
        <v>8.3075871567171805E-2</v>
      </c>
      <c r="G27" s="76">
        <f t="shared" si="2"/>
        <v>6.7578783749250054E-2</v>
      </c>
      <c r="H27" s="154">
        <f t="shared" si="2"/>
        <v>6.3749858391322842E-2</v>
      </c>
      <c r="I27" s="82">
        <f t="shared" si="2"/>
        <v>7.1612740141557094E-2</v>
      </c>
      <c r="J27" s="82">
        <f t="shared" si="2"/>
        <v>7.0518913569856831E-2</v>
      </c>
      <c r="K27" s="82">
        <f t="shared" si="2"/>
        <v>6.7664330010585735E-2</v>
      </c>
      <c r="L27" s="82">
        <f t="shared" si="2"/>
        <v>6.4445323753069925E-2</v>
      </c>
      <c r="M27" s="82">
        <f t="shared" si="2"/>
        <v>6.3097566154304202E-2</v>
      </c>
    </row>
    <row r="28" spans="2:13" ht="28.8" x14ac:dyDescent="0.3">
      <c r="B28" s="129" t="s">
        <v>353</v>
      </c>
      <c r="C28" s="65">
        <f>'Profit &amp; Loss'!C21+'Profit &amp; Loss'!C22+'Profit &amp; Loss'!C23</f>
        <v>558.28430000000003</v>
      </c>
      <c r="D28" s="65">
        <f>'Profit &amp; Loss'!D21+'Profit &amp; Loss'!D22+'Profit &amp; Loss'!D23</f>
        <v>751.65039999999999</v>
      </c>
      <c r="E28" s="65">
        <f>'Profit &amp; Loss'!E21+'Profit &amp; Loss'!E22+'Profit &amp; Loss'!E23</f>
        <v>803.05</v>
      </c>
      <c r="F28" s="65">
        <f>'Profit &amp; Loss'!F21+'Profit &amp; Loss'!F22+'Profit &amp; Loss'!F23</f>
        <v>807.36</v>
      </c>
      <c r="G28" s="65">
        <f>'Profit &amp; Loss'!G21+'Profit &amp; Loss'!G22+'Profit &amp; Loss'!G23</f>
        <v>1276.8499999999999</v>
      </c>
      <c r="H28" s="158">
        <f>'Profit &amp; Loss'!H21+'Profit &amp; Loss'!H22+'Profit &amp; Loss'!H23</f>
        <v>2095.4499999999998</v>
      </c>
      <c r="I28" s="72">
        <f>'Profit &amp; Loss'!I21+'Profit &amp; Loss'!I22+'Profit &amp; Loss'!I23</f>
        <v>2746.5336742399804</v>
      </c>
      <c r="J28" s="72">
        <f>'Profit &amp; Loss'!J21+'Profit &amp; Loss'!J22+'Profit &amp; Loss'!J23</f>
        <v>3408.9552619843344</v>
      </c>
      <c r="K28" s="72">
        <f>'Profit &amp; Loss'!K21+'Profit &amp; Loss'!K22+'Profit &amp; Loss'!K23</f>
        <v>4055.4653177534865</v>
      </c>
      <c r="L28" s="72">
        <f>'Profit &amp; Loss'!L21+'Profit &amp; Loss'!L22+'Profit &amp; Loss'!L23</f>
        <v>4703.7386154214091</v>
      </c>
      <c r="M28" s="72">
        <f>'Profit &amp; Loss'!M21+'Profit &amp; Loss'!M22+'Profit &amp; Loss'!M23</f>
        <v>5376.0881410926258</v>
      </c>
    </row>
    <row r="29" spans="2:13" x14ac:dyDescent="0.3">
      <c r="B29" s="129" t="s">
        <v>354</v>
      </c>
      <c r="C29" s="65">
        <f>'Profit &amp; Loss'!C15-'Profit &amp; Loss'!C17</f>
        <v>1252.0234999999996</v>
      </c>
      <c r="D29" s="65">
        <f>'Profit &amp; Loss'!D15-'Profit &amp; Loss'!D17</f>
        <v>1324.8596999999995</v>
      </c>
      <c r="E29" s="65">
        <f>'Profit &amp; Loss'!E15-'Profit &amp; Loss'!E17</f>
        <v>1413.0000000000002</v>
      </c>
      <c r="F29" s="65">
        <f>'Profit &amp; Loss'!F15-'Profit &amp; Loss'!F17</f>
        <v>2197.0299999999997</v>
      </c>
      <c r="G29" s="65">
        <f>'Profit &amp; Loss'!G15-'Profit &amp; Loss'!G17</f>
        <v>2707.75</v>
      </c>
      <c r="H29" s="158">
        <f>'Profit &amp; Loss'!H15-'Profit &amp; Loss'!H17</f>
        <v>4028.9800000000005</v>
      </c>
      <c r="I29" s="72">
        <f>'Profit &amp; Loss'!I15-'Profit &amp; Loss'!I17</f>
        <v>6693.369404893253</v>
      </c>
      <c r="J29" s="72">
        <f>'Profit &amp; Loss'!J15-'Profit &amp; Loss'!J17</f>
        <v>9555.6899406088505</v>
      </c>
      <c r="K29" s="72">
        <f>'Profit &amp; Loss'!K15-'Profit &amp; Loss'!K17</f>
        <v>12510.477114393774</v>
      </c>
      <c r="L29" s="72">
        <f>'Profit &amp; Loss'!L15-'Profit &amp; Loss'!L17</f>
        <v>15606.18502101221</v>
      </c>
      <c r="M29" s="72">
        <f>'Profit &amp; Loss'!M15-'Profit &amp; Loss'!M17</f>
        <v>19340.004654759527</v>
      </c>
    </row>
    <row r="30" spans="2:13" x14ac:dyDescent="0.3">
      <c r="B30" s="145" t="s">
        <v>355</v>
      </c>
      <c r="C30" s="78">
        <f t="shared" ref="C30:M30" si="3">IFERROR(C28/C29,"")</f>
        <v>0.44590560800176693</v>
      </c>
      <c r="D30" s="78">
        <f t="shared" si="3"/>
        <v>0.56734339492702535</v>
      </c>
      <c r="E30" s="78">
        <f t="shared" si="3"/>
        <v>0.56832979476291567</v>
      </c>
      <c r="F30" s="78">
        <f t="shared" si="3"/>
        <v>0.3674779133648608</v>
      </c>
      <c r="G30" s="78">
        <f t="shared" si="3"/>
        <v>0.47155387314190744</v>
      </c>
      <c r="H30" s="159">
        <f t="shared" si="3"/>
        <v>0.52009441595639583</v>
      </c>
      <c r="I30" s="85">
        <f t="shared" si="3"/>
        <v>0.41033648497453318</v>
      </c>
      <c r="J30" s="85">
        <f t="shared" si="3"/>
        <v>0.35674611495055786</v>
      </c>
      <c r="K30" s="85">
        <f t="shared" si="3"/>
        <v>0.32416551988153364</v>
      </c>
      <c r="L30" s="85">
        <f t="shared" si="3"/>
        <v>0.30140220746378971</v>
      </c>
      <c r="M30" s="85">
        <f t="shared" si="3"/>
        <v>0.2779776032664803</v>
      </c>
    </row>
    <row r="31" spans="2:13" ht="28.8" x14ac:dyDescent="0.3">
      <c r="B31" s="129" t="s">
        <v>356</v>
      </c>
      <c r="C31" s="65">
        <f t="shared" ref="C31:M31" si="4">C29-C28</f>
        <v>693.73919999999953</v>
      </c>
      <c r="D31" s="65">
        <f t="shared" si="4"/>
        <v>573.20929999999953</v>
      </c>
      <c r="E31" s="65">
        <f t="shared" si="4"/>
        <v>609.95000000000027</v>
      </c>
      <c r="F31" s="65">
        <f t="shared" si="4"/>
        <v>1389.6699999999996</v>
      </c>
      <c r="G31" s="65">
        <f t="shared" si="4"/>
        <v>1430.9</v>
      </c>
      <c r="H31" s="158">
        <f t="shared" si="4"/>
        <v>1933.5300000000007</v>
      </c>
      <c r="I31" s="72">
        <f t="shared" si="4"/>
        <v>3946.8357306532725</v>
      </c>
      <c r="J31" s="72">
        <f t="shared" si="4"/>
        <v>6146.7346786245162</v>
      </c>
      <c r="K31" s="72">
        <f t="shared" si="4"/>
        <v>8455.0117966402868</v>
      </c>
      <c r="L31" s="72">
        <f t="shared" si="4"/>
        <v>10902.446405590801</v>
      </c>
      <c r="M31" s="72">
        <f t="shared" si="4"/>
        <v>13963.9165136669</v>
      </c>
    </row>
    <row r="32" spans="2:13" x14ac:dyDescent="0.3">
      <c r="B32" s="129" t="s">
        <v>357</v>
      </c>
      <c r="C32" s="65"/>
      <c r="D32" s="65">
        <f>AVERAGE('Balance Sheet'!C55,'Balance Sheet'!D55)</f>
        <v>4126.2623999999996</v>
      </c>
      <c r="E32" s="65">
        <f>AVERAGE('Balance Sheet'!D55,'Balance Sheet'!E55)</f>
        <v>6465.6952000000001</v>
      </c>
      <c r="F32" s="65">
        <f>AVERAGE('Balance Sheet'!E55,'Balance Sheet'!F55)</f>
        <v>7520.125</v>
      </c>
      <c r="G32" s="65">
        <f>AVERAGE('Balance Sheet'!F55,'Balance Sheet'!G55)</f>
        <v>8170.87</v>
      </c>
      <c r="H32" s="158">
        <f>AVERAGE('Balance Sheet'!G55,'Balance Sheet'!H55)</f>
        <v>9261.4500000000007</v>
      </c>
      <c r="I32" s="72">
        <f>AVERAGE('Balance Sheet'!H55,'Balance Sheet'!I55)</f>
        <v>13730.301561244614</v>
      </c>
      <c r="J32" s="72">
        <f>AVERAGE('Balance Sheet'!I55,'Balance Sheet'!J55)</f>
        <v>20812.867149371814</v>
      </c>
      <c r="K32" s="72">
        <f>AVERAGE('Balance Sheet'!J55,'Balance Sheet'!K55)</f>
        <v>28647.424111105629</v>
      </c>
      <c r="L32" s="72">
        <f>AVERAGE('Balance Sheet'!K55,'Balance Sheet'!L55)</f>
        <v>37315.962658543751</v>
      </c>
      <c r="M32" s="72">
        <f>AVERAGE('Balance Sheet'!L55,'Balance Sheet'!M55)</f>
        <v>46874.511467674485</v>
      </c>
    </row>
    <row r="33" spans="2:13" x14ac:dyDescent="0.3">
      <c r="B33" s="145" t="s">
        <v>358</v>
      </c>
      <c r="C33" s="76"/>
      <c r="D33" s="78">
        <f>IFERROR('Profit &amp; Loss'!D38/D22,"")</f>
        <v>2.5318595929041406E-2</v>
      </c>
      <c r="E33" s="78">
        <f>IFERROR('Profit &amp; Loss'!E38/E22,"")</f>
        <v>3.4542250237679373E-2</v>
      </c>
      <c r="F33" s="78">
        <f>IFERROR('Profit &amp; Loss'!F38/F22,"")</f>
        <v>7.1154030300897245E-2</v>
      </c>
      <c r="G33" s="78">
        <f>IFERROR('Profit &amp; Loss'!G38/G22,"")</f>
        <v>-3.3269707920788915E-3</v>
      </c>
      <c r="H33" s="159">
        <f>IFERROR('Profit &amp; Loss'!H38/H22,"")</f>
        <v>1.1370440129483791E-2</v>
      </c>
      <c r="I33" s="85">
        <f>IFERROR('Profit &amp; Loss'!I38/I22,"")</f>
        <v>2.3208796673988934E-2</v>
      </c>
      <c r="J33" s="85">
        <f>IFERROR('Profit &amp; Loss'!J38/J22,"")</f>
        <v>2.7889998979982712E-2</v>
      </c>
      <c r="K33" s="85">
        <f>IFERROR('Profit &amp; Loss'!K38/K22,"")</f>
        <v>2.9853932441103237E-2</v>
      </c>
      <c r="L33" s="85">
        <f>IFERROR('Profit &amp; Loss'!L38/L22,"")</f>
        <v>3.0415307172793976E-2</v>
      </c>
      <c r="M33" s="85">
        <f>IFERROR('Profit &amp; Loss'!M38/M22,"")</f>
        <v>3.207548256329467E-2</v>
      </c>
    </row>
    <row r="34" spans="2:13" x14ac:dyDescent="0.3">
      <c r="B34" s="145" t="s">
        <v>359</v>
      </c>
      <c r="C34" s="76"/>
      <c r="D34" s="78">
        <f>IFERROR('Profit &amp; Loss'!D38/D32,"")</f>
        <v>9.098064146380988E-2</v>
      </c>
      <c r="E34" s="78">
        <f>IFERROR('Profit &amp; Loss'!E38/E32,"")</f>
        <v>0.1059483905149133</v>
      </c>
      <c r="F34" s="78">
        <f>IFERROR('Profit &amp; Loss'!F38/F32,"")</f>
        <v>0.22380745000914215</v>
      </c>
      <c r="G34" s="78">
        <f>IFERROR('Profit &amp; Loss'!G38/G32,"")</f>
        <v>-1.203543808676439E-2</v>
      </c>
      <c r="H34" s="159">
        <f>IFERROR('Profit &amp; Loss'!H38/H32,"")</f>
        <v>5.8501638512327946E-2</v>
      </c>
      <c r="I34" s="85">
        <f>IFERROR('Profit &amp; Loss'!I38/I32,"")</f>
        <v>0.12977668731445341</v>
      </c>
      <c r="J34" s="85">
        <f>IFERROR('Profit &amp; Loss'!J38/J32,"")</f>
        <v>0.14978736982905544</v>
      </c>
      <c r="K34" s="85">
        <f>IFERROR('Profit &amp; Loss'!K38/K32,"")</f>
        <v>0.15760312513170913</v>
      </c>
      <c r="L34" s="85">
        <f>IFERROR('Profit &amp; Loss'!L38/L32,"")</f>
        <v>0.15917000913375909</v>
      </c>
      <c r="M34" s="85">
        <f>IFERROR('Profit &amp; Loss'!M38/M32,"")</f>
        <v>0.16708845769144168</v>
      </c>
    </row>
    <row r="35" spans="2:13" x14ac:dyDescent="0.3">
      <c r="B35" s="129" t="s">
        <v>383</v>
      </c>
      <c r="C35" s="65">
        <f>'Profit &amp; Loss'!C38</f>
        <v>-558.96440000000052</v>
      </c>
      <c r="D35" s="65">
        <f>'Profit &amp; Loss'!D38</f>
        <v>375.40999999999963</v>
      </c>
      <c r="E35" s="65">
        <f>'Profit &amp; Loss'!E38</f>
        <v>685.03000000000043</v>
      </c>
      <c r="F35" s="65">
        <f>'Profit &amp; Loss'!F38</f>
        <v>1683.0600000000002</v>
      </c>
      <c r="G35" s="65">
        <f>'Profit &amp; Loss'!G38</f>
        <v>-98.340000000000543</v>
      </c>
      <c r="H35" s="158">
        <f>'Profit &amp; Loss'!H38</f>
        <v>541.80999999999972</v>
      </c>
      <c r="I35" s="72">
        <f>'Profit &amp; Loss'!I38</f>
        <v>1781.8730524467937</v>
      </c>
      <c r="J35" s="72">
        <f>'Profit &amp; Loss'!J38</f>
        <v>3117.5046289059546</v>
      </c>
      <c r="K35" s="72">
        <f>'Profit &amp; Loss'!K38</f>
        <v>4514.9235668837218</v>
      </c>
      <c r="L35" s="72">
        <f>'Profit &amp; Loss'!L38</f>
        <v>5939.5821171954221</v>
      </c>
      <c r="M35" s="72">
        <f>'Profit &amp; Loss'!M38</f>
        <v>7832.1898261735259</v>
      </c>
    </row>
    <row r="36" spans="2:13" ht="28.8" x14ac:dyDescent="0.3">
      <c r="B36" s="129" t="s">
        <v>396</v>
      </c>
      <c r="C36" s="65">
        <f>'Profit &amp; Loss'!C10</f>
        <v>71.657200000000003</v>
      </c>
      <c r="D36" s="65">
        <f>'Profit &amp; Loss'!D10</f>
        <v>63.917000000000002</v>
      </c>
      <c r="E36" s="65">
        <f>'Profit &amp; Loss'!E10</f>
        <v>61.54</v>
      </c>
      <c r="F36" s="65">
        <f>'Profit &amp; Loss'!F10</f>
        <v>73.22</v>
      </c>
      <c r="G36" s="65">
        <f>'Profit &amp; Loss'!G10</f>
        <v>192.26</v>
      </c>
      <c r="H36" s="158">
        <f>'Profit &amp; Loss'!H10</f>
        <v>419.75</v>
      </c>
      <c r="I36" s="72">
        <f>'Profit &amp; Loss'!I10</f>
        <v>533.72984437499986</v>
      </c>
      <c r="J36" s="72">
        <f>'Profit &amp; Loss'!J10</f>
        <v>781.82314884374989</v>
      </c>
      <c r="K36" s="72">
        <f>'Profit &amp; Loss'!K10</f>
        <v>1139.5000498649999</v>
      </c>
      <c r="L36" s="72">
        <f>'Profit &amp; Loss'!L10</f>
        <v>1482.5060324122501</v>
      </c>
      <c r="M36" s="72">
        <f>'Profit &amp; Loss'!M10</f>
        <v>1981.7876661347107</v>
      </c>
    </row>
    <row r="37" spans="2:13" x14ac:dyDescent="0.3">
      <c r="B37" s="129" t="s">
        <v>397</v>
      </c>
      <c r="C37" s="76">
        <f>IFERROR(C36/'Profit &amp; Loss'!C15,"")</f>
        <v>3.0460312585348859E-2</v>
      </c>
      <c r="D37" s="76">
        <f>IFERROR(D36/'Profit &amp; Loss'!D15,"")</f>
        <v>3.1316060415396273E-2</v>
      </c>
      <c r="E37" s="76">
        <f>IFERROR(E36/'Profit &amp; Loss'!E15,"")</f>
        <v>3.0643137411117967E-2</v>
      </c>
      <c r="F37" s="76">
        <f>IFERROR(F36/'Profit &amp; Loss'!F15,"")</f>
        <v>2.3264163592632486E-2</v>
      </c>
      <c r="G37" s="76">
        <f>IFERROR(G36/'Profit &amp; Loss'!G15,"")</f>
        <v>4.5528601604607324E-2</v>
      </c>
      <c r="H37" s="154">
        <f>IFERROR(H36/'Profit &amp; Loss'!H15,"")</f>
        <v>6.1767454180247656E-2</v>
      </c>
      <c r="I37" s="82">
        <f>IFERROR(I36/'Profit &amp; Loss'!I15,"")</f>
        <v>4.7440929266420337E-2</v>
      </c>
      <c r="J37" s="82">
        <f>IFERROR(J36/'Profit &amp; Loss'!J15,"")</f>
        <v>4.9004245232759758E-2</v>
      </c>
      <c r="K37" s="82">
        <f>IFERROR(K36/'Profit &amp; Loss'!K15,"")</f>
        <v>5.4226963876406624E-2</v>
      </c>
      <c r="L37" s="82">
        <f>IFERROR(L36/'Profit &amp; Loss'!L15,"")</f>
        <v>5.6133973740952629E-2</v>
      </c>
      <c r="M37" s="82">
        <f>IFERROR(M36/'Profit &amp; Loss'!M15,"")</f>
        <v>6.0709635944982278E-2</v>
      </c>
    </row>
    <row r="38" spans="2:13" ht="28.8" x14ac:dyDescent="0.3">
      <c r="B38" s="129" t="s">
        <v>398</v>
      </c>
      <c r="F38" s="231">
        <v>0.49</v>
      </c>
      <c r="G38" s="231">
        <v>0.56999999999999995</v>
      </c>
      <c r="H38" s="160">
        <v>0.54</v>
      </c>
      <c r="I38" s="138">
        <v>0.52</v>
      </c>
      <c r="J38" s="138">
        <v>0.51</v>
      </c>
      <c r="K38" s="138">
        <v>0.505</v>
      </c>
      <c r="L38" s="138">
        <v>0.5</v>
      </c>
      <c r="M38" s="138">
        <v>0.5</v>
      </c>
    </row>
    <row r="39" spans="2:13" x14ac:dyDescent="0.3">
      <c r="B39" s="129" t="s">
        <v>399</v>
      </c>
      <c r="F39" s="76">
        <f t="shared" ref="F39:M39" si="5">IFERROR(1-F38,"")</f>
        <v>0.51</v>
      </c>
      <c r="G39" s="76">
        <f t="shared" si="5"/>
        <v>0.43000000000000005</v>
      </c>
      <c r="H39" s="154">
        <f t="shared" si="5"/>
        <v>0.45999999999999996</v>
      </c>
      <c r="I39" s="82">
        <f t="shared" si="5"/>
        <v>0.48</v>
      </c>
      <c r="J39" s="82">
        <f t="shared" si="5"/>
        <v>0.49</v>
      </c>
      <c r="K39" s="82">
        <f t="shared" si="5"/>
        <v>0.495</v>
      </c>
      <c r="L39" s="82">
        <f t="shared" si="5"/>
        <v>0.5</v>
      </c>
      <c r="M39" s="82">
        <f t="shared" si="5"/>
        <v>0.5</v>
      </c>
    </row>
    <row r="40" spans="2:13" ht="28.8" x14ac:dyDescent="0.3">
      <c r="B40" s="129" t="s">
        <v>400</v>
      </c>
      <c r="D40" s="76">
        <f t="shared" ref="D40:M40" si="6">IFERROR(D9-(D28/C28-1),"")</f>
        <v>-0.47874929263855692</v>
      </c>
      <c r="E40" s="76">
        <f t="shared" si="6"/>
        <v>-8.4427853170419898E-2</v>
      </c>
      <c r="F40" s="76">
        <f t="shared" si="6"/>
        <v>0.56180984951799551</v>
      </c>
      <c r="G40" s="76">
        <f t="shared" si="6"/>
        <v>-0.23979118862949678</v>
      </c>
      <c r="H40" s="154">
        <f t="shared" si="6"/>
        <v>-3.1848386730790157E-2</v>
      </c>
      <c r="I40" s="82">
        <f t="shared" si="6"/>
        <v>0.34481786718052287</v>
      </c>
      <c r="J40" s="82">
        <f t="shared" si="6"/>
        <v>0.17691431413292769</v>
      </c>
      <c r="K40" s="82">
        <f t="shared" si="6"/>
        <v>0.12746615023194474</v>
      </c>
      <c r="L40" s="82">
        <f t="shared" si="6"/>
        <v>9.6964007057168011E-2</v>
      </c>
      <c r="M40" s="82">
        <f t="shared" si="6"/>
        <v>9.3090038015010812E-2</v>
      </c>
    </row>
    <row r="41" spans="2:13" x14ac:dyDescent="0.3">
      <c r="B41" s="129"/>
      <c r="H41" s="151"/>
      <c r="I41" s="35"/>
      <c r="J41" s="35"/>
      <c r="K41" s="35"/>
      <c r="L41" s="35"/>
      <c r="M41" s="35"/>
    </row>
    <row r="42" spans="2:13" x14ac:dyDescent="0.3">
      <c r="B42" s="143" t="s">
        <v>360</v>
      </c>
      <c r="C42" s="4"/>
      <c r="D42" s="4"/>
      <c r="E42" s="4"/>
      <c r="F42" s="4"/>
      <c r="G42" s="4"/>
      <c r="H42" s="153"/>
      <c r="I42" s="81"/>
      <c r="J42" s="81"/>
      <c r="K42" s="81"/>
      <c r="L42" s="81"/>
      <c r="M42" s="81"/>
    </row>
    <row r="43" spans="2:13" ht="28.8" x14ac:dyDescent="0.3">
      <c r="B43" s="129" t="s">
        <v>361</v>
      </c>
      <c r="C43" s="76"/>
      <c r="D43" s="76">
        <f>IFERROR('Profit &amp; Loss'!D20/D24,"")</f>
        <v>5.918130345464988E-3</v>
      </c>
      <c r="E43" s="76">
        <f>IFERROR('Profit &amp; Loss'!E20/E24,"")</f>
        <v>-9.6131497725674957E-3</v>
      </c>
      <c r="F43" s="76">
        <f>IFERROR('Profit &amp; Loss'!F20/F24,"")</f>
        <v>3.8652953687836338E-3</v>
      </c>
      <c r="G43" s="76">
        <f>IFERROR('Profit &amp; Loss'!G20/G24,"")</f>
        <v>5.3274881501869618E-2</v>
      </c>
      <c r="H43" s="154">
        <f>IFERROR('Profit &amp; Loss'!H20/H24,"")</f>
        <v>2.4910867835090975E-2</v>
      </c>
      <c r="I43" s="82">
        <f>'Credit Cost Forecast'!D10</f>
        <v>2.1999999999999999E-2</v>
      </c>
      <c r="J43" s="82">
        <f>'Credit Cost Forecast'!E10</f>
        <v>1.9E-2</v>
      </c>
      <c r="K43" s="82">
        <f>'Credit Cost Forecast'!F10</f>
        <v>1.7000000000000001E-2</v>
      </c>
      <c r="L43" s="82">
        <f>'Credit Cost Forecast'!G10</f>
        <v>1.6E-2</v>
      </c>
      <c r="M43" s="82">
        <f>'Credit Cost Forecast'!H10</f>
        <v>1.4999999999999999E-2</v>
      </c>
    </row>
    <row r="44" spans="2:13" x14ac:dyDescent="0.3">
      <c r="B44" s="129" t="s">
        <v>362</v>
      </c>
      <c r="C44" s="67"/>
      <c r="D44" s="67">
        <f>'Business Performance Scorecard'!D177</f>
        <v>3.29</v>
      </c>
      <c r="E44" s="67">
        <f>'Business Performance Scorecard'!E177</f>
        <v>1.44</v>
      </c>
      <c r="F44" s="67">
        <f>'Business Performance Scorecard'!F177</f>
        <v>1.1599999999999999</v>
      </c>
      <c r="G44" s="67">
        <f>'Business Performance Scorecard'!G177</f>
        <v>1.84</v>
      </c>
      <c r="H44" s="155">
        <f>'Business Performance Scorecard'!H177</f>
        <v>1.44</v>
      </c>
      <c r="I44" s="74">
        <f>'Credit Cost Forecast'!D6*100</f>
        <v>1.35</v>
      </c>
      <c r="J44" s="74">
        <f>'Credit Cost Forecast'!E6*100</f>
        <v>1.3</v>
      </c>
      <c r="K44" s="74">
        <f>'Credit Cost Forecast'!F6*100</f>
        <v>1.25</v>
      </c>
      <c r="L44" s="74">
        <f>'Credit Cost Forecast'!G6*100</f>
        <v>1.2</v>
      </c>
      <c r="M44" s="74">
        <f>'Credit Cost Forecast'!H6*100</f>
        <v>1.1499999999999999</v>
      </c>
    </row>
    <row r="45" spans="2:13" x14ac:dyDescent="0.3">
      <c r="B45" s="129" t="s">
        <v>363</v>
      </c>
      <c r="C45" s="67"/>
      <c r="D45" s="67">
        <f>'Business Performance Scorecard'!D178</f>
        <v>1.3</v>
      </c>
      <c r="E45" s="67">
        <f>'Business Performance Scorecard'!E178</f>
        <v>0.78</v>
      </c>
      <c r="F45" s="67">
        <f>'Business Performance Scorecard'!F178</f>
        <v>0.59</v>
      </c>
      <c r="G45" s="67">
        <f>'Business Performance Scorecard'!G178</f>
        <v>0.85</v>
      </c>
      <c r="H45" s="155">
        <f>'Business Performance Scorecard'!H178</f>
        <v>0.74</v>
      </c>
      <c r="I45" s="74">
        <f>'Credit Cost Forecast'!D7*100</f>
        <v>0.67999999999999994</v>
      </c>
      <c r="J45" s="74">
        <f>'Credit Cost Forecast'!E7*100</f>
        <v>0.63</v>
      </c>
      <c r="K45" s="74">
        <f>'Credit Cost Forecast'!F7*100</f>
        <v>0.6</v>
      </c>
      <c r="L45" s="74">
        <f>'Credit Cost Forecast'!G7*100</f>
        <v>0.57000000000000006</v>
      </c>
      <c r="M45" s="74">
        <f>'Credit Cost Forecast'!H7*100</f>
        <v>0.54999999999999993</v>
      </c>
    </row>
    <row r="46" spans="2:13" x14ac:dyDescent="0.3">
      <c r="B46" s="129" t="s">
        <v>364</v>
      </c>
      <c r="C46" s="76"/>
      <c r="D46" s="76">
        <f t="shared" ref="D46:M46" si="7">IFERROR(1-D45/D44,"")</f>
        <v>0.60486322188449848</v>
      </c>
      <c r="E46" s="76">
        <f t="shared" si="7"/>
        <v>0.45833333333333326</v>
      </c>
      <c r="F46" s="76">
        <f t="shared" si="7"/>
        <v>0.49137931034482762</v>
      </c>
      <c r="G46" s="76">
        <f t="shared" si="7"/>
        <v>0.53804347826086962</v>
      </c>
      <c r="H46" s="154">
        <f t="shared" si="7"/>
        <v>0.48611111111111105</v>
      </c>
      <c r="I46" s="82">
        <f t="shared" si="7"/>
        <v>0.49629629629629635</v>
      </c>
      <c r="J46" s="82">
        <f t="shared" si="7"/>
        <v>0.51538461538461533</v>
      </c>
      <c r="K46" s="82">
        <f t="shared" si="7"/>
        <v>0.52</v>
      </c>
      <c r="L46" s="82">
        <f t="shared" si="7"/>
        <v>0.52499999999999991</v>
      </c>
      <c r="M46" s="82">
        <f t="shared" si="7"/>
        <v>0.52173913043478271</v>
      </c>
    </row>
    <row r="47" spans="2:13" x14ac:dyDescent="0.3">
      <c r="B47" s="129"/>
      <c r="H47" s="151"/>
      <c r="I47" s="35"/>
      <c r="J47" s="35"/>
      <c r="K47" s="35"/>
      <c r="L47" s="35"/>
      <c r="M47" s="35"/>
    </row>
    <row r="48" spans="2:13" x14ac:dyDescent="0.3">
      <c r="B48" s="143" t="s">
        <v>365</v>
      </c>
      <c r="C48" s="4"/>
      <c r="D48" s="4"/>
      <c r="E48" s="4"/>
      <c r="F48" s="4"/>
      <c r="G48" s="4"/>
      <c r="H48" s="153"/>
      <c r="I48" s="81"/>
      <c r="J48" s="81"/>
      <c r="K48" s="81"/>
      <c r="L48" s="81"/>
      <c r="M48" s="81"/>
    </row>
    <row r="49" spans="2:13" x14ac:dyDescent="0.3">
      <c r="B49" s="129" t="s">
        <v>366</v>
      </c>
      <c r="C49" s="65">
        <f>Treasury!C9</f>
        <v>10433.049300000001</v>
      </c>
      <c r="D49" s="65">
        <f>Treasury!D9</f>
        <v>9908.8292999999994</v>
      </c>
      <c r="E49" s="65">
        <f>Treasury!E9</f>
        <v>11119.58</v>
      </c>
      <c r="F49" s="65">
        <f>Treasury!F9</f>
        <v>15080.13</v>
      </c>
      <c r="G49" s="65">
        <f>Treasury!G9</f>
        <v>25880.550000000003</v>
      </c>
      <c r="H49" s="158">
        <f>Treasury!H9</f>
        <v>48098.299999999996</v>
      </c>
      <c r="I49" s="72">
        <f>'Balance Sheet'!I39+'Balance Sheet'!I40+'Balance Sheet'!I41</f>
        <v>73402.76704284655</v>
      </c>
      <c r="J49" s="72">
        <f>'Balance Sheet'!J39+'Balance Sheet'!J40+'Balance Sheet'!J41</f>
        <v>101898.66571889725</v>
      </c>
      <c r="K49" s="72">
        <f>'Balance Sheet'!K39+'Balance Sheet'!K40+'Balance Sheet'!K41</f>
        <v>134297.30803088518</v>
      </c>
      <c r="L49" s="72">
        <f>'Balance Sheet'!L39+'Balance Sheet'!L40+'Balance Sheet'!L41</f>
        <v>170039.4153868893</v>
      </c>
      <c r="M49" s="72">
        <f>'Balance Sheet'!M39+'Balance Sheet'!M40+'Balance Sheet'!M41</f>
        <v>210066.41215396271</v>
      </c>
    </row>
    <row r="50" spans="2:13" ht="28.8" x14ac:dyDescent="0.3">
      <c r="B50" s="129" t="s">
        <v>367</v>
      </c>
      <c r="C50" s="249">
        <f>IFERROR(C49/'Balance Sheet'!C55,"")</f>
        <v>4.7546043748533711</v>
      </c>
      <c r="D50" s="249">
        <f>IFERROR(D49/'Balance Sheet'!D55,"")</f>
        <v>1.6356006625311947</v>
      </c>
      <c r="E50" s="249">
        <f>IFERROR(E49/'Balance Sheet'!E55,"")</f>
        <v>1.617824089903203</v>
      </c>
      <c r="F50" s="249">
        <f>IFERROR(F49/'Balance Sheet'!F55,"")</f>
        <v>1.846453077476895</v>
      </c>
      <c r="G50" s="249">
        <f>IFERROR(G49/'Balance Sheet'!G55,"")</f>
        <v>3.1659481862242593</v>
      </c>
      <c r="H50" s="161">
        <f>IFERROR(H49/'Balance Sheet'!H55,"")</f>
        <v>4.6479691232518761</v>
      </c>
      <c r="I50" s="86">
        <f>IFERROR(I49/'Balance Sheet'!I55,"")</f>
        <v>4.2894582424083758</v>
      </c>
      <c r="J50" s="86">
        <f>IFERROR(J49/'Balance Sheet'!J55,"")</f>
        <v>4.1568605552550197</v>
      </c>
      <c r="K50" s="86">
        <f>IFERROR(K49/'Balance Sheet'!K55,"")</f>
        <v>4.0967436532103694</v>
      </c>
      <c r="L50" s="86">
        <f>IFERROR(L49/'Balance Sheet'!L55,"")</f>
        <v>4.063024947433747</v>
      </c>
      <c r="M50" s="86">
        <f>IFERROR(M49/'Balance Sheet'!M55,"")</f>
        <v>4.04763355281111</v>
      </c>
    </row>
    <row r="51" spans="2:13" x14ac:dyDescent="0.3">
      <c r="B51" s="129" t="s">
        <v>368</v>
      </c>
      <c r="C51" s="76">
        <f>IFERROR(C49/'Balance Sheet'!C31,"")</f>
        <v>0.7896537441081648</v>
      </c>
      <c r="D51" s="76">
        <f>IFERROR(D49/'Balance Sheet'!D31,"")</f>
        <v>0.60262784934489411</v>
      </c>
      <c r="E51" s="76">
        <f>IFERROR(E49/'Balance Sheet'!E31,"")</f>
        <v>0.47886683424767901</v>
      </c>
      <c r="F51" s="76">
        <f>IFERROR(F49/'Balance Sheet'!F31,"")</f>
        <v>0.62607184818303707</v>
      </c>
      <c r="G51" s="76">
        <f>IFERROR(G49/'Balance Sheet'!G31,"")</f>
        <v>0.73881228457713621</v>
      </c>
      <c r="H51" s="154">
        <f>IFERROR(H49/'Balance Sheet'!H31,"")</f>
        <v>0.79802646555025281</v>
      </c>
      <c r="I51" s="82">
        <f>IFERROR(I49/'Balance Sheet'!I31,"")</f>
        <v>0.78690818169565857</v>
      </c>
      <c r="J51" s="82">
        <f>IFERROR(J49/'Balance Sheet'!J31,"")</f>
        <v>0.78216802940093644</v>
      </c>
      <c r="K51" s="82">
        <f>IFERROR(K49/'Balance Sheet'!K31,"")</f>
        <v>0.77993498577615017</v>
      </c>
      <c r="L51" s="82">
        <f>IFERROR(L49/'Balance Sheet'!L31,"")</f>
        <v>0.77865812079436569</v>
      </c>
      <c r="M51" s="82">
        <f>IFERROR(M49/'Balance Sheet'!M31,"")</f>
        <v>0.77806705380398533</v>
      </c>
    </row>
    <row r="52" spans="2:13" x14ac:dyDescent="0.3">
      <c r="B52" s="129" t="s">
        <v>369</v>
      </c>
      <c r="C52" s="76">
        <f>IFERROR('Balance Sheet'!C55/'Balance Sheet'!C31,"")</f>
        <v>0.16608190331977249</v>
      </c>
      <c r="D52" s="76">
        <f>IFERROR('Balance Sheet'!D55/'Balance Sheet'!D31,"")</f>
        <v>0.36844436612803133</v>
      </c>
      <c r="E52" s="76">
        <f>IFERROR('Balance Sheet'!E55/'Balance Sheet'!E31,"")</f>
        <v>0.29599437740868995</v>
      </c>
      <c r="F52" s="76">
        <f>IFERROR('Balance Sheet'!F55/'Balance Sheet'!F31,"")</f>
        <v>0.33906729384022011</v>
      </c>
      <c r="G52" s="76">
        <f>IFERROR('Balance Sheet'!G55/'Balance Sheet'!G31,"")</f>
        <v>0.23336208968670802</v>
      </c>
      <c r="H52" s="154">
        <f>IFERROR('Balance Sheet'!H55/'Balance Sheet'!H31,"")</f>
        <v>0.17169358151672198</v>
      </c>
      <c r="I52" s="82">
        <f>IFERROR('Balance Sheet'!I55/'Balance Sheet'!I31,"")</f>
        <v>0.18345164755674087</v>
      </c>
      <c r="J52" s="82">
        <f>IFERROR('Balance Sheet'!J55/'Balance Sheet'!J31,"")</f>
        <v>0.18816316280134424</v>
      </c>
      <c r="K52" s="82">
        <f>IFERROR('Balance Sheet'!K55/'Balance Sheet'!K31,"")</f>
        <v>0.19037925039926831</v>
      </c>
      <c r="L52" s="82">
        <f>IFERROR('Balance Sheet'!L55/'Balance Sheet'!L31,"")</f>
        <v>0.19164492733084867</v>
      </c>
      <c r="M52" s="82">
        <f>IFERROR('Balance Sheet'!M55/'Balance Sheet'!M31,"")</f>
        <v>0.19222764206597018</v>
      </c>
    </row>
    <row r="53" spans="2:13" ht="28.8" x14ac:dyDescent="0.3">
      <c r="B53" s="129" t="s">
        <v>1217</v>
      </c>
      <c r="C53" s="67" t="str">
        <f>IF('Business Performance Scorecard'!C179=0,"",'Business Performance Scorecard'!C179)</f>
        <v/>
      </c>
      <c r="D53" s="67">
        <f>'Business Performance Scorecard'!D179</f>
        <v>49.06</v>
      </c>
      <c r="E53" s="67" t="str">
        <f>IF('Business Performance Scorecard'!E179=0,"",'Business Performance Scorecard'!E179)</f>
        <v/>
      </c>
      <c r="F53" s="67">
        <f>'Business Performance Scorecard'!F179</f>
        <v>33.799999999999997</v>
      </c>
      <c r="G53" s="67">
        <f>'Business Performance Scorecard'!G179</f>
        <v>22.94</v>
      </c>
      <c r="H53" s="155">
        <f>'Business Performance Scorecard'!H179</f>
        <v>16.829999999999998</v>
      </c>
      <c r="I53" s="74">
        <f>'Regulatory Capital'!D32*100</f>
        <v>18.601956223687178</v>
      </c>
      <c r="J53" s="74">
        <f>'Regulatory Capital'!E32*100</f>
        <v>18.583348278693247</v>
      </c>
      <c r="K53" s="74">
        <f>'Regulatory Capital'!F32*100</f>
        <v>18.574911841901116</v>
      </c>
      <c r="L53" s="74">
        <f>'Regulatory Capital'!G32*100</f>
        <v>18.570179965834289</v>
      </c>
      <c r="M53" s="74">
        <f>'Regulatory Capital'!H32*100</f>
        <v>18.56802003204761</v>
      </c>
    </row>
    <row r="54" spans="2:13" ht="28.8" x14ac:dyDescent="0.3">
      <c r="B54" s="129" t="s">
        <v>392</v>
      </c>
      <c r="H54" s="162">
        <v>181</v>
      </c>
      <c r="I54" s="73"/>
      <c r="J54" s="73"/>
      <c r="K54" s="73"/>
      <c r="L54" s="73"/>
      <c r="M54" s="73"/>
    </row>
    <row r="55" spans="2:13" ht="43.2" x14ac:dyDescent="0.3">
      <c r="B55" s="129" t="s">
        <v>1301</v>
      </c>
      <c r="H55" s="154">
        <f>'Product Profitability'!L21</f>
        <v>0.15934124643713549</v>
      </c>
      <c r="I55" s="82"/>
      <c r="J55" s="82"/>
      <c r="K55" s="82"/>
      <c r="L55" s="82"/>
      <c r="M55" s="82"/>
    </row>
    <row r="56" spans="2:13" x14ac:dyDescent="0.3">
      <c r="B56" s="129"/>
      <c r="H56" s="151"/>
      <c r="I56" s="35"/>
      <c r="J56" s="35"/>
      <c r="K56" s="35"/>
      <c r="L56" s="35"/>
      <c r="M56" s="35"/>
    </row>
    <row r="57" spans="2:13" x14ac:dyDescent="0.3">
      <c r="B57" s="143" t="s">
        <v>370</v>
      </c>
      <c r="C57" s="4"/>
      <c r="D57" s="4"/>
      <c r="E57" s="4"/>
      <c r="F57" s="4"/>
      <c r="G57" s="4"/>
      <c r="H57" s="153"/>
      <c r="I57" s="81"/>
      <c r="J57" s="81"/>
      <c r="K57" s="81"/>
      <c r="L57" s="81"/>
      <c r="M57" s="81"/>
    </row>
    <row r="58" spans="2:13" x14ac:dyDescent="0.3">
      <c r="B58" s="129" t="s">
        <v>371</v>
      </c>
      <c r="C58" s="76">
        <f>IFERROR('Balance Sheet'!C9/'Balance Sheet'!C31,"")</f>
        <v>2.7082951867210065E-2</v>
      </c>
      <c r="D58" s="76">
        <f>IFERROR('Balance Sheet'!D9/'Balance Sheet'!D31,"")</f>
        <v>2.1572782271544858E-2</v>
      </c>
      <c r="E58" s="76">
        <f>IFERROR('Balance Sheet'!E9/'Balance Sheet'!E31,"")</f>
        <v>2.5898544439616353E-2</v>
      </c>
      <c r="F58" s="76">
        <f>IFERROR('Balance Sheet'!F9/'Balance Sheet'!F31,"")</f>
        <v>1.0594140383361908E-2</v>
      </c>
      <c r="G58" s="76">
        <f>IFERROR('Balance Sheet'!G9/'Balance Sheet'!G31,"")</f>
        <v>7.0368376308951723E-4</v>
      </c>
      <c r="H58" s="154">
        <f>IFERROR('Balance Sheet'!H9/'Balance Sheet'!H31,"")</f>
        <v>4.7451899370117515E-3</v>
      </c>
      <c r="I58" s="82">
        <f>IFERROR('Balance Sheet'!I9/'Balance Sheet'!I31,"")</f>
        <v>2.7276230749325701E-2</v>
      </c>
      <c r="J58" s="82">
        <f>IFERROR('Balance Sheet'!J9/'Balance Sheet'!J31,"")</f>
        <v>2.7302583862931832E-2</v>
      </c>
      <c r="K58" s="82">
        <f>IFERROR('Balance Sheet'!K9/'Balance Sheet'!K31,"")</f>
        <v>2.7318187568633578E-2</v>
      </c>
      <c r="L58" s="82">
        <f>IFERROR('Balance Sheet'!L9/'Balance Sheet'!L31,"")</f>
        <v>2.7328483320354893E-2</v>
      </c>
      <c r="M58" s="82">
        <f>IFERROR('Balance Sheet'!M9/'Balance Sheet'!M31,"")</f>
        <v>2.7336169444826253E-2</v>
      </c>
    </row>
    <row r="59" spans="2:13" x14ac:dyDescent="0.3">
      <c r="B59" s="129" t="s">
        <v>372</v>
      </c>
      <c r="C59" s="76">
        <f>IFERROR('Balance Sheet'!C9/C49,"")</f>
        <v>3.4297249989990938E-2</v>
      </c>
      <c r="D59" s="76">
        <f>IFERROR('Balance Sheet'!D9/D49,"")</f>
        <v>3.5797851518140494E-2</v>
      </c>
      <c r="E59" s="76">
        <f>IFERROR('Balance Sheet'!E9/E49,"")</f>
        <v>5.4082977954203304E-2</v>
      </c>
      <c r="F59" s="76">
        <f>IFERROR('Balance Sheet'!F9/F49,"")</f>
        <v>1.6921604787226638E-2</v>
      </c>
      <c r="G59" s="76">
        <f>IFERROR('Balance Sheet'!G9/G49,"")</f>
        <v>9.5245271062631962E-4</v>
      </c>
      <c r="H59" s="154">
        <f>IFERROR('Balance Sheet'!H9/H49,"")</f>
        <v>5.9461561011511848E-3</v>
      </c>
      <c r="I59" s="82">
        <f>IFERROR('Balance Sheet'!I9/I49,"")</f>
        <v>3.4662532915275934E-2</v>
      </c>
      <c r="J59" s="82">
        <f>IFERROR('Balance Sheet'!J9/J49,"")</f>
        <v>3.4906289744216369E-2</v>
      </c>
      <c r="K59" s="82">
        <f>IFERROR('Balance Sheet'!K9/K49,"")</f>
        <v>3.5026236887486156E-2</v>
      </c>
      <c r="L59" s="82">
        <f>IFERROR('Balance Sheet'!L9/L49,"")</f>
        <v>3.5096896302160341E-2</v>
      </c>
      <c r="M59" s="82">
        <f>IFERROR('Balance Sheet'!M9/M49,"")</f>
        <v>3.5133436522185556E-2</v>
      </c>
    </row>
    <row r="60" spans="2:13" x14ac:dyDescent="0.3">
      <c r="B60" s="129"/>
      <c r="H60" s="151"/>
      <c r="I60" s="35"/>
      <c r="J60" s="35"/>
      <c r="K60" s="35"/>
      <c r="L60" s="35"/>
      <c r="M60" s="35"/>
    </row>
    <row r="61" spans="2:13" x14ac:dyDescent="0.3">
      <c r="B61" s="143" t="s">
        <v>373</v>
      </c>
      <c r="C61" s="4"/>
      <c r="D61" s="4"/>
      <c r="E61" s="4"/>
      <c r="F61" s="4"/>
      <c r="G61" s="4"/>
      <c r="H61" s="153"/>
      <c r="I61" s="81"/>
      <c r="J61" s="81"/>
      <c r="K61" s="81"/>
      <c r="L61" s="81"/>
      <c r="M61" s="81"/>
    </row>
    <row r="62" spans="2:13" x14ac:dyDescent="0.3">
      <c r="B62" s="129" t="s">
        <v>374</v>
      </c>
      <c r="C62" s="15">
        <v>2</v>
      </c>
      <c r="D62" s="65">
        <f>C62</f>
        <v>2</v>
      </c>
      <c r="E62" s="65">
        <f>D62</f>
        <v>2</v>
      </c>
      <c r="F62" s="65">
        <f>E62</f>
        <v>2</v>
      </c>
      <c r="G62" s="65">
        <f>F62</f>
        <v>2</v>
      </c>
      <c r="H62" s="158">
        <f>G62</f>
        <v>2</v>
      </c>
      <c r="I62" s="72">
        <f>Assumptions!D18</f>
        <v>2</v>
      </c>
      <c r="J62" s="72">
        <f>Assumptions!E18</f>
        <v>2</v>
      </c>
      <c r="K62" s="72">
        <f>Assumptions!F18</f>
        <v>2</v>
      </c>
      <c r="L62" s="72">
        <f>Assumptions!G18</f>
        <v>2</v>
      </c>
      <c r="M62" s="72">
        <f>Assumptions!H18</f>
        <v>2</v>
      </c>
    </row>
    <row r="63" spans="2:13" ht="28.8" x14ac:dyDescent="0.3">
      <c r="B63" s="129" t="s">
        <v>375</v>
      </c>
      <c r="C63" s="65">
        <f>IFERROR('Balance Sheet'!C52/C62,"")</f>
        <v>26.961649999999999</v>
      </c>
      <c r="D63" s="65">
        <f>IFERROR('Balance Sheet'!D52/D62,"")</f>
        <v>76.492350000000002</v>
      </c>
      <c r="E63" s="65">
        <f>IFERROR('Balance Sheet'!E52/E62,"")</f>
        <v>76.795000000000002</v>
      </c>
      <c r="F63" s="65">
        <f>IFERROR('Balance Sheet'!F52/F62,"")</f>
        <v>77.055000000000007</v>
      </c>
      <c r="G63" s="65">
        <f>IFERROR('Balance Sheet'!G52/G62,"")</f>
        <v>77.290000000000006</v>
      </c>
      <c r="H63" s="158">
        <f>IFERROR('Balance Sheet'!H52/H62,"")</f>
        <v>80.795000000000002</v>
      </c>
      <c r="I63" s="72">
        <f>IFERROR('Balance Sheet'!I52/I62,"")</f>
        <v>133.60662088253821</v>
      </c>
      <c r="J63" s="72">
        <f>IFERROR('Balance Sheet'!J52/J62,"")</f>
        <v>191.39078956281205</v>
      </c>
      <c r="K63" s="72">
        <f>IFERROR('Balance Sheet'!K52/K62,"")</f>
        <v>255.94491796944067</v>
      </c>
      <c r="L63" s="72">
        <f>IFERROR('Balance Sheet'!L52/L62,"")</f>
        <v>326.75188902325425</v>
      </c>
      <c r="M63" s="72">
        <f>IFERROR('Balance Sheet'!M52/M62,"")</f>
        <v>405.20371966590648</v>
      </c>
    </row>
    <row r="64" spans="2:13" x14ac:dyDescent="0.3">
      <c r="B64" s="129" t="s">
        <v>376</v>
      </c>
      <c r="C64" s="65">
        <f>'Profit &amp; Loss'!C55</f>
        <v>-0.2074</v>
      </c>
      <c r="D64" s="65">
        <f>'Profit &amp; Loss'!D55</f>
        <v>5.2299999999999999E-2</v>
      </c>
      <c r="E64" s="65">
        <f>'Profit &amp; Loss'!E55</f>
        <v>8.9499999999999993</v>
      </c>
      <c r="F64" s="65">
        <f>'Profit &amp; Loss'!F55</f>
        <v>21.89</v>
      </c>
      <c r="G64" s="65">
        <f>'Profit &amp; Loss'!G55</f>
        <v>-1.27</v>
      </c>
      <c r="H64" s="158">
        <f>'Profit &amp; Loss'!H55</f>
        <v>6.84</v>
      </c>
      <c r="I64" s="72">
        <f>'Profit &amp; Loss'!I55</f>
        <v>13.336712212887623</v>
      </c>
      <c r="J64" s="72">
        <f>'Profit &amp; Loss'!J55</f>
        <v>16.28868680685822</v>
      </c>
      <c r="K64" s="72">
        <f>'Profit &amp; Loss'!K55</f>
        <v>17.640215725724218</v>
      </c>
      <c r="L64" s="72">
        <f>'Profit &amp; Loss'!L55</f>
        <v>18.177651963850511</v>
      </c>
      <c r="M64" s="72">
        <f>'Profit &amp; Loss'!M55</f>
        <v>19.329017593005378</v>
      </c>
    </row>
    <row r="65" spans="2:13" x14ac:dyDescent="0.3">
      <c r="B65" s="129" t="s">
        <v>377</v>
      </c>
      <c r="C65" s="65">
        <f>'Profit &amp; Loss'!C56</f>
        <v>-0.2074</v>
      </c>
      <c r="D65" s="65">
        <f>'Profit &amp; Loss'!D56</f>
        <v>5.1700000000000003E-2</v>
      </c>
      <c r="E65" s="65">
        <f>'Profit &amp; Loss'!E56</f>
        <v>8.86</v>
      </c>
      <c r="F65" s="65">
        <f>'Profit &amp; Loss'!F56</f>
        <v>21.63</v>
      </c>
      <c r="G65" s="65">
        <f>'Profit &amp; Loss'!G56</f>
        <v>-1.27</v>
      </c>
      <c r="H65" s="158">
        <f>'Profit &amp; Loss'!H56</f>
        <v>6.82</v>
      </c>
      <c r="I65" s="72">
        <f>'Profit &amp; Loss'!I56</f>
        <v>13.336712212887623</v>
      </c>
      <c r="J65" s="72">
        <f>'Profit &amp; Loss'!J56</f>
        <v>16.28868680685822</v>
      </c>
      <c r="K65" s="72">
        <f>'Profit &amp; Loss'!K56</f>
        <v>17.640215725724218</v>
      </c>
      <c r="L65" s="72">
        <f>'Profit &amp; Loss'!L56</f>
        <v>18.177651963850511</v>
      </c>
      <c r="M65" s="72">
        <f>'Profit &amp; Loss'!M56</f>
        <v>19.329017593005378</v>
      </c>
    </row>
    <row r="66" spans="2:13" ht="28.8" x14ac:dyDescent="0.3">
      <c r="B66" s="145" t="s">
        <v>378</v>
      </c>
      <c r="C66" s="79">
        <f>IFERROR('Balance Sheet'!C55/C63,"")</f>
        <v>81.386131783477651</v>
      </c>
      <c r="D66" s="79">
        <f>IFERROR('Balance Sheet'!D55/D63,"")</f>
        <v>79.200343563768143</v>
      </c>
      <c r="E66" s="79">
        <f>IFERROR('Balance Sheet'!E55/E63,"")</f>
        <v>89.500227879419242</v>
      </c>
      <c r="F66" s="79">
        <f>IFERROR('Balance Sheet'!F55/F63,"")</f>
        <v>105.99026669262214</v>
      </c>
      <c r="G66" s="79">
        <f>IFERROR('Balance Sheet'!G55/G63,"")</f>
        <v>105.76607581834648</v>
      </c>
      <c r="H66" s="163">
        <f>IFERROR('Balance Sheet'!H55/H63,"")</f>
        <v>128.08020298285786</v>
      </c>
      <c r="I66" s="87">
        <f>IFERROR('Balance Sheet'!I55/I63,"")</f>
        <v>128.08020298285783</v>
      </c>
      <c r="J66" s="87">
        <f>IFERROR('Balance Sheet'!J55/J63,"")</f>
        <v>128.08020298285786</v>
      </c>
      <c r="K66" s="87">
        <f>IFERROR('Balance Sheet'!K55/K63,"")</f>
        <v>128.08020298285786</v>
      </c>
      <c r="L66" s="87">
        <f>IFERROR('Balance Sheet'!L55/L63,"")</f>
        <v>128.08020298285783</v>
      </c>
      <c r="M66" s="87">
        <f>IFERROR('Balance Sheet'!M55/M63,"")</f>
        <v>128.08020298285786</v>
      </c>
    </row>
    <row r="67" spans="2:13" x14ac:dyDescent="0.3">
      <c r="B67" s="129"/>
      <c r="H67" s="151"/>
      <c r="I67" s="35"/>
      <c r="J67" s="35"/>
      <c r="K67" s="35"/>
      <c r="L67" s="35"/>
      <c r="M67" s="35"/>
    </row>
    <row r="68" spans="2:13" x14ac:dyDescent="0.3">
      <c r="B68" s="143" t="s">
        <v>404</v>
      </c>
      <c r="C68" s="4"/>
      <c r="D68" s="4"/>
      <c r="E68" s="4"/>
      <c r="F68" s="4"/>
      <c r="G68" s="4"/>
      <c r="H68" s="153"/>
      <c r="I68" s="81"/>
      <c r="J68" s="81"/>
      <c r="K68" s="81"/>
      <c r="L68" s="81"/>
      <c r="M68" s="81"/>
    </row>
    <row r="69" spans="2:13" x14ac:dyDescent="0.3">
      <c r="B69" s="129" t="s">
        <v>386</v>
      </c>
      <c r="C69" s="250">
        <v>7600</v>
      </c>
      <c r="D69" s="250">
        <v>8024</v>
      </c>
      <c r="E69" s="250">
        <v>2452</v>
      </c>
      <c r="F69" s="250">
        <v>2384</v>
      </c>
      <c r="G69" s="250">
        <v>3594</v>
      </c>
      <c r="H69" s="157">
        <v>5860</v>
      </c>
      <c r="I69" s="84">
        <f>'Business Drivers'!D29</f>
        <v>7475</v>
      </c>
      <c r="J69" s="84">
        <f>'Business Drivers'!E29</f>
        <v>8736</v>
      </c>
      <c r="K69" s="84">
        <f>'Business Drivers'!F29</f>
        <v>9680</v>
      </c>
      <c r="L69" s="84">
        <f>'Business Drivers'!G29</f>
        <v>10476</v>
      </c>
      <c r="M69" s="84">
        <f>'Business Drivers'!H29</f>
        <v>11130</v>
      </c>
    </row>
    <row r="70" spans="2:13" ht="28.8" x14ac:dyDescent="0.3">
      <c r="B70" s="129" t="s">
        <v>387</v>
      </c>
      <c r="C70" s="65">
        <f>IFERROR('Profit &amp; Loss'!C15/C69,"")</f>
        <v>0.30953651315789465</v>
      </c>
      <c r="D70" s="65">
        <f>IFERROR('Profit &amp; Loss'!D15/D69,"")</f>
        <v>0.25436557826520434</v>
      </c>
      <c r="E70" s="65">
        <f>IFERROR('Profit &amp; Loss'!E15/E69,"")</f>
        <v>0.81903752039151723</v>
      </c>
      <c r="F70" s="65">
        <f>IFERROR('Profit &amp; Loss'!F15/F69,"")</f>
        <v>1.3201887583892618</v>
      </c>
      <c r="G70" s="65">
        <f>IFERROR('Profit &amp; Loss'!G15/G69,"")</f>
        <v>1.1749693934335004</v>
      </c>
      <c r="H70" s="158">
        <f>IFERROR('Profit &amp; Loss'!H15/H69,"")</f>
        <v>1.1596672354948807</v>
      </c>
      <c r="I70" s="72">
        <f>IFERROR('Profit &amp; Loss'!I15/I69,"")</f>
        <v>1.5050714008695649</v>
      </c>
      <c r="J70" s="72">
        <f>IFERROR('Profit &amp; Loss'!J15/J69,"")</f>
        <v>1.8262582688201121</v>
      </c>
      <c r="K70" s="72">
        <f>IFERROR('Profit &amp; Loss'!K15/K69,"")</f>
        <v>2.1708194389861508</v>
      </c>
      <c r="L70" s="72">
        <f>IFERROR('Profit &amp; Loss'!L15/L69,"")</f>
        <v>2.5210136218349755</v>
      </c>
      <c r="M70" s="72">
        <f>IFERROR('Profit &amp; Loss'!M15/M69,"")</f>
        <v>2.9329477644824213</v>
      </c>
    </row>
    <row r="71" spans="2:13" ht="28.8" x14ac:dyDescent="0.3">
      <c r="B71" s="129" t="s">
        <v>388</v>
      </c>
      <c r="E71" s="65">
        <f>'Branch Profitability'!C11</f>
        <v>0.22169296682651013</v>
      </c>
      <c r="F71" s="65">
        <f>'Branch Profitability'!D11</f>
        <v>-9.9976531143824668E-2</v>
      </c>
      <c r="G71" s="65">
        <f>'Branch Profitability'!E11</f>
        <v>-1.4986083969419337</v>
      </c>
      <c r="H71" s="158">
        <f>'Branch Profitability'!F11</f>
        <v>-0.90199263126724205</v>
      </c>
      <c r="I71" s="72"/>
      <c r="J71" s="72"/>
      <c r="K71" s="72"/>
      <c r="L71" s="72"/>
      <c r="M71" s="72"/>
    </row>
    <row r="72" spans="2:13" x14ac:dyDescent="0.3">
      <c r="B72" s="129" t="s">
        <v>389</v>
      </c>
      <c r="D72" s="51">
        <v>3.5</v>
      </c>
      <c r="E72" s="51">
        <v>3.8</v>
      </c>
      <c r="F72" s="51">
        <v>4</v>
      </c>
      <c r="H72" s="151"/>
      <c r="I72" s="139">
        <v>4.2</v>
      </c>
      <c r="J72" s="139">
        <v>4.4000000000000004</v>
      </c>
      <c r="K72" s="139">
        <v>4.5999999999999996</v>
      </c>
      <c r="L72" s="139">
        <v>4.8</v>
      </c>
      <c r="M72" s="139">
        <v>5</v>
      </c>
    </row>
    <row r="73" spans="2:13" ht="28.8" x14ac:dyDescent="0.3">
      <c r="B73" s="129" t="s">
        <v>390</v>
      </c>
      <c r="D73" s="67">
        <f>IFERROR(D12/D72,"")</f>
        <v>2149.7142857142858</v>
      </c>
      <c r="E73" s="67">
        <f>IFERROR(E12/E72,"")</f>
        <v>4145</v>
      </c>
      <c r="F73" s="67">
        <f>IFERROR(F12/F72,"")</f>
        <v>8322.25</v>
      </c>
      <c r="G73" s="67" t="str">
        <f t="shared" ref="G73:H73" si="8">IFERROR(G12/G72,"")</f>
        <v/>
      </c>
      <c r="H73" s="155" t="str">
        <f t="shared" si="8"/>
        <v/>
      </c>
      <c r="I73" s="65">
        <f>IFERROR(I12/I72,"")</f>
        <v>11906.666666666664</v>
      </c>
      <c r="J73" s="65">
        <f>IFERROR(J12/J72,"")</f>
        <v>14992.045454545454</v>
      </c>
      <c r="K73" s="65">
        <f>IFERROR(K12/K72,"")</f>
        <v>18129.130434782612</v>
      </c>
      <c r="L73" s="65">
        <f>IFERROR(L12/L72,"")</f>
        <v>21263.28125</v>
      </c>
      <c r="M73" s="72">
        <f>IFERROR(M12/M72,"")</f>
        <v>24666.400000000005</v>
      </c>
    </row>
    <row r="74" spans="2:13" ht="28.8" x14ac:dyDescent="0.3">
      <c r="B74" s="145" t="s">
        <v>391</v>
      </c>
      <c r="D74" s="79">
        <f>IFERROR(D28/D73,"")</f>
        <v>0.34965130249867088</v>
      </c>
      <c r="E74" s="79">
        <f>IFERROR(E28/E73,"")</f>
        <v>0.1937394451145959</v>
      </c>
      <c r="F74" s="79">
        <f>IFERROR(F28/F73,"")</f>
        <v>9.7012226260927037E-2</v>
      </c>
      <c r="H74" s="151"/>
      <c r="I74" s="72">
        <f>IFERROR(I28/I73,"")</f>
        <v>0.2306719211287778</v>
      </c>
      <c r="J74" s="72">
        <f>IFERROR(J28/J73,"")</f>
        <v>0.22738426669796213</v>
      </c>
      <c r="K74" s="72">
        <f>IFERROR(K28/K73,"")</f>
        <v>0.2236988327897215</v>
      </c>
      <c r="L74" s="72">
        <f>IFERROR(L28/L73,"")</f>
        <v>0.22121414658997698</v>
      </c>
      <c r="M74" s="72">
        <f>IFERROR(M28/M73,"")</f>
        <v>0.21795187546997635</v>
      </c>
    </row>
    <row r="75" spans="2:13" ht="28.8" x14ac:dyDescent="0.3">
      <c r="B75" s="129" t="s">
        <v>402</v>
      </c>
      <c r="E75" s="65">
        <f>'Branch Profitability'!C7</f>
        <v>23.061428571428571</v>
      </c>
      <c r="F75" s="65">
        <f>'Branch Profitability'!D7</f>
        <v>25.865172413793101</v>
      </c>
      <c r="G75" s="65">
        <f>'Branch Profitability'!E7</f>
        <v>28.12973684210526</v>
      </c>
      <c r="H75" s="158">
        <f>'Branch Profitability'!F7</f>
        <v>36.208799999999997</v>
      </c>
      <c r="I75" s="72">
        <f>IFERROR('Balance Sheet'!I14/'Business Drivers'!D27,"")</f>
        <v>130.4782476253846</v>
      </c>
      <c r="J75" s="72">
        <f>IFERROR('Balance Sheet'!J14/'Business Drivers'!E27,"")</f>
        <v>152.00445940738783</v>
      </c>
      <c r="K75" s="72">
        <f>IFERROR('Balance Sheet'!K14/'Business Drivers'!F27,"")</f>
        <v>178.17914107732884</v>
      </c>
      <c r="L75" s="72">
        <f>IFERROR('Balance Sheet'!L14/'Business Drivers'!G27,"")</f>
        <v>205.08095289050246</v>
      </c>
      <c r="M75" s="72">
        <f>IFERROR('Balance Sheet'!M14/'Business Drivers'!H27,"")</f>
        <v>234.29698275728629</v>
      </c>
    </row>
    <row r="76" spans="2:13" ht="28.8" x14ac:dyDescent="0.3">
      <c r="B76" s="129" t="s">
        <v>403</v>
      </c>
      <c r="E76" s="231">
        <v>0.81</v>
      </c>
      <c r="F76" s="231">
        <v>0.82</v>
      </c>
      <c r="H76" s="151"/>
      <c r="I76" s="35"/>
      <c r="J76" s="35"/>
      <c r="K76" s="35"/>
      <c r="L76" s="35"/>
      <c r="M76" s="35"/>
    </row>
    <row r="77" spans="2:13" x14ac:dyDescent="0.3">
      <c r="B77" s="129"/>
      <c r="H77" s="151"/>
      <c r="I77" s="35"/>
      <c r="J77" s="35"/>
      <c r="K77" s="35"/>
      <c r="L77" s="35"/>
      <c r="M77" s="35"/>
    </row>
    <row r="78" spans="2:13" x14ac:dyDescent="0.3">
      <c r="B78" s="143" t="s">
        <v>405</v>
      </c>
      <c r="C78" s="4"/>
      <c r="D78" s="4"/>
      <c r="E78" s="4"/>
      <c r="F78" s="4"/>
      <c r="G78" s="4"/>
      <c r="H78" s="153"/>
      <c r="I78" s="81"/>
      <c r="J78" s="81"/>
      <c r="K78" s="81"/>
      <c r="L78" s="81"/>
      <c r="M78" s="81"/>
    </row>
    <row r="79" spans="2:13" ht="40.049999999999997" customHeight="1" x14ac:dyDescent="0.3">
      <c r="B79" s="144" t="s">
        <v>401</v>
      </c>
      <c r="C79" s="77"/>
      <c r="D79" s="77"/>
      <c r="E79" s="77"/>
      <c r="F79" s="77"/>
      <c r="G79" s="77"/>
      <c r="H79" s="156"/>
      <c r="I79" s="83"/>
      <c r="J79" s="83"/>
      <c r="K79" s="83"/>
      <c r="L79" s="83"/>
      <c r="M79" s="83"/>
    </row>
    <row r="80" spans="2:13" ht="48" customHeight="1" x14ac:dyDescent="0.3">
      <c r="B80" s="146" t="s">
        <v>384</v>
      </c>
      <c r="C80" s="80"/>
      <c r="D80" s="80"/>
      <c r="E80" s="80"/>
      <c r="F80" s="80"/>
      <c r="G80" s="80"/>
      <c r="H80" s="164"/>
      <c r="I80" s="88"/>
      <c r="J80" s="88"/>
      <c r="K80" s="88"/>
      <c r="L80" s="88"/>
      <c r="M80" s="88"/>
    </row>
    <row r="81" spans="2:13" x14ac:dyDescent="0.3">
      <c r="B81" s="147"/>
      <c r="H81" s="151"/>
      <c r="M81" s="35"/>
    </row>
    <row r="82" spans="2:13" x14ac:dyDescent="0.3">
      <c r="B82" s="580" t="s">
        <v>620</v>
      </c>
      <c r="C82" s="524"/>
      <c r="D82" s="524"/>
      <c r="E82" s="524"/>
      <c r="F82" s="524"/>
      <c r="G82" s="524"/>
      <c r="H82" s="581"/>
      <c r="I82" s="524"/>
      <c r="J82" s="524"/>
      <c r="K82" s="524"/>
      <c r="L82" s="524"/>
      <c r="M82" s="568"/>
    </row>
    <row r="83" spans="2:13" x14ac:dyDescent="0.3">
      <c r="B83" s="129" t="s">
        <v>222</v>
      </c>
      <c r="C83" s="251" t="str">
        <f>IF('Business Performance Scorecard'!C165=0,"",'Business Performance Scorecard'!C165)</f>
        <v/>
      </c>
      <c r="D83" s="251" t="str">
        <f>IF('Business Performance Scorecard'!D165=0,"",'Business Performance Scorecard'!D165)</f>
        <v/>
      </c>
      <c r="E83" s="251" t="str">
        <f>IF('Business Performance Scorecard'!E165=0,"",'Business Performance Scorecard'!E165)</f>
        <v/>
      </c>
      <c r="F83" s="251" t="str">
        <f>IF('Business Performance Scorecard'!F165=0,"",'Business Performance Scorecard'!F165)</f>
        <v/>
      </c>
      <c r="G83" s="251" t="str">
        <f>IF('Business Performance Scorecard'!G165=0,"",'Business Performance Scorecard'!G165)</f>
        <v/>
      </c>
      <c r="H83" s="165">
        <f>'Business Performance Scorecard'!H165</f>
        <v>500</v>
      </c>
      <c r="I83" s="251">
        <f>'Business Drivers'!D27</f>
        <v>650</v>
      </c>
      <c r="J83" s="251">
        <f>'Business Drivers'!E27</f>
        <v>780</v>
      </c>
      <c r="K83" s="251">
        <f>'Business Drivers'!F27</f>
        <v>880</v>
      </c>
      <c r="L83" s="251">
        <f>'Business Drivers'!G27</f>
        <v>970</v>
      </c>
      <c r="M83" s="140">
        <f>'Business Drivers'!H27</f>
        <v>1050</v>
      </c>
    </row>
    <row r="84" spans="2:13" ht="43.2" x14ac:dyDescent="0.3">
      <c r="B84" s="148" t="s">
        <v>1392</v>
      </c>
      <c r="C84" s="24"/>
      <c r="D84" s="24"/>
      <c r="E84" s="24"/>
      <c r="F84" s="24"/>
      <c r="G84" s="24"/>
      <c r="H84" s="166"/>
      <c r="I84" s="53">
        <f>'Balance Sheet'!I60</f>
        <v>4982.2500700424334</v>
      </c>
      <c r="J84" s="53">
        <f>'Balance Sheet'!J60</f>
        <v>4283.5034248592156</v>
      </c>
      <c r="K84" s="53">
        <f>'Balance Sheet'!K60</f>
        <v>3753.1823028187418</v>
      </c>
      <c r="L84" s="53">
        <f>'Balance Sheet'!L60</f>
        <v>3129.389107978358</v>
      </c>
      <c r="M84" s="56">
        <f>'Balance Sheet'!M60</f>
        <v>2215.9365669141625</v>
      </c>
    </row>
    <row r="85" spans="2:13" x14ac:dyDescent="0.3">
      <c r="B85" s="129"/>
      <c r="H85" s="151"/>
      <c r="M85" s="35"/>
    </row>
    <row r="86" spans="2:13" x14ac:dyDescent="0.3">
      <c r="B86" s="580" t="s">
        <v>621</v>
      </c>
      <c r="C86" s="524"/>
      <c r="D86" s="524"/>
      <c r="E86" s="524"/>
      <c r="F86" s="524"/>
      <c r="G86" s="524"/>
      <c r="H86" s="581"/>
      <c r="I86" s="524"/>
      <c r="J86" s="524"/>
      <c r="K86" s="524"/>
      <c r="L86" s="524"/>
      <c r="M86" s="568"/>
    </row>
    <row r="87" spans="2:13" x14ac:dyDescent="0.3">
      <c r="B87" s="129" t="s">
        <v>613</v>
      </c>
      <c r="H87" s="151"/>
      <c r="K87" s="231">
        <v>0.03</v>
      </c>
      <c r="M87" s="35"/>
    </row>
    <row r="88" spans="2:13" x14ac:dyDescent="0.3">
      <c r="B88" s="129" t="s">
        <v>614</v>
      </c>
      <c r="H88" s="151"/>
      <c r="K88" s="231">
        <v>3.5000000000000003E-2</v>
      </c>
      <c r="M88" s="35"/>
    </row>
    <row r="89" spans="2:13" x14ac:dyDescent="0.3">
      <c r="B89" s="149" t="s">
        <v>622</v>
      </c>
      <c r="H89" s="151"/>
      <c r="K89" s="252">
        <f>K33</f>
        <v>2.9853932441103237E-2</v>
      </c>
      <c r="M89" s="35"/>
    </row>
    <row r="90" spans="2:13" ht="28.8" x14ac:dyDescent="0.3">
      <c r="B90" s="150" t="s">
        <v>615</v>
      </c>
      <c r="C90" s="24"/>
      <c r="D90" s="24"/>
      <c r="E90" s="24"/>
      <c r="F90" s="24"/>
      <c r="G90" s="24"/>
      <c r="H90" s="166"/>
      <c r="I90" s="24"/>
      <c r="J90" s="24"/>
      <c r="K90" s="136">
        <v>3.4799999999999998E-2</v>
      </c>
      <c r="L90" s="24"/>
      <c r="M90" s="109"/>
    </row>
    <row r="91" spans="2:13" x14ac:dyDescent="0.3">
      <c r="B91" s="26"/>
      <c r="M91" s="35"/>
    </row>
    <row r="92" spans="2:13" x14ac:dyDescent="0.3">
      <c r="B92" s="28" t="s">
        <v>645</v>
      </c>
      <c r="M92" s="35"/>
    </row>
    <row r="93" spans="2:13" x14ac:dyDescent="0.3">
      <c r="B93" s="26" t="s">
        <v>646</v>
      </c>
      <c r="C93">
        <f>'Profit &amp; Loss'!C15</f>
        <v>2352.4774999999995</v>
      </c>
      <c r="D93">
        <f>'Profit &amp; Loss'!D15</f>
        <v>2041.0293999999997</v>
      </c>
      <c r="E93">
        <f>'Profit &amp; Loss'!E15</f>
        <v>2008.2800000000002</v>
      </c>
      <c r="F93">
        <f>'Profit &amp; Loss'!F15</f>
        <v>3147.33</v>
      </c>
      <c r="G93">
        <f>'Profit &amp; Loss'!G15</f>
        <v>4222.84</v>
      </c>
      <c r="H93">
        <f>'Profit &amp; Loss'!H15</f>
        <v>6795.6500000000005</v>
      </c>
      <c r="I93">
        <f>'Profit &amp; Loss'!I15</f>
        <v>11250.408721499998</v>
      </c>
      <c r="J93">
        <f>'Profit &amp; Loss'!J15</f>
        <v>15954.192236412498</v>
      </c>
      <c r="K93">
        <f>'Profit &amp; Loss'!K15</f>
        <v>21013.532169385941</v>
      </c>
      <c r="L93">
        <f>'Profit &amp; Loss'!L15</f>
        <v>26410.138702343203</v>
      </c>
      <c r="M93" s="35">
        <f>'Profit &amp; Loss'!M15</f>
        <v>32643.70861868935</v>
      </c>
    </row>
    <row r="94" spans="2:13" x14ac:dyDescent="0.3">
      <c r="B94" s="26" t="s">
        <v>647</v>
      </c>
      <c r="C94">
        <f>'Balance Sheet'!C55</f>
        <v>2194.3044</v>
      </c>
      <c r="D94">
        <f>'Balance Sheet'!D55</f>
        <v>6058.2204000000002</v>
      </c>
      <c r="E94">
        <f>'Balance Sheet'!E55</f>
        <v>6873.170000000001</v>
      </c>
      <c r="F94">
        <f>'Balance Sheet'!F55</f>
        <v>8167.08</v>
      </c>
      <c r="G94">
        <f>'Balance Sheet'!G55</f>
        <v>8174.66</v>
      </c>
      <c r="H94">
        <f>'Balance Sheet'!H55</f>
        <v>10348.24</v>
      </c>
      <c r="I94">
        <f>'Balance Sheet'!I55</f>
        <v>17112.363122489227</v>
      </c>
      <c r="J94">
        <f>'Balance Sheet'!J55</f>
        <v>24513.371176254397</v>
      </c>
      <c r="K94">
        <f>'Balance Sheet'!K55</f>
        <v>32781.477045956861</v>
      </c>
      <c r="L94">
        <f>'Balance Sheet'!L55</f>
        <v>41850.448271130641</v>
      </c>
      <c r="M94" s="35">
        <f>'Balance Sheet'!M55</f>
        <v>51898.574664218329</v>
      </c>
    </row>
    <row r="95" spans="2:13" x14ac:dyDescent="0.3">
      <c r="B95" s="70" t="s">
        <v>866</v>
      </c>
      <c r="C95" s="24"/>
      <c r="D95" s="24"/>
      <c r="E95" s="24"/>
      <c r="F95" s="253">
        <f>'Business Performance Scorecard'!F161</f>
        <v>25003</v>
      </c>
      <c r="G95" s="253">
        <f>'Business Performance Scorecard'!G161</f>
        <v>35631</v>
      </c>
      <c r="H95" s="253">
        <f>'Business Performance Scorecard'!H161</f>
        <v>60348</v>
      </c>
      <c r="I95" s="253">
        <f>'Balance Sheet'!I14</f>
        <v>84810.860956499993</v>
      </c>
      <c r="J95" s="253">
        <f>'Balance Sheet'!J14</f>
        <v>118563.4783377625</v>
      </c>
      <c r="K95" s="253">
        <f>'Balance Sheet'!K14</f>
        <v>156797.64414804938</v>
      </c>
      <c r="L95" s="253">
        <f>'Balance Sheet'!L14</f>
        <v>198928.52430378739</v>
      </c>
      <c r="M95" s="254">
        <f>'Balance Sheet'!M14</f>
        <v>246011.83189515059</v>
      </c>
    </row>
  </sheetData>
  <mergeCells count="4">
    <mergeCell ref="B1:H1"/>
    <mergeCell ref="B82:M82"/>
    <mergeCell ref="B86:M86"/>
    <mergeCell ref="B2:M2"/>
  </mergeCells>
  <hyperlinks>
    <hyperlink ref="O1" location="Home!A1" tooltip="Back to Home / Index" display="⌂ Home" xr:uid="{2B8234A2-FA7B-481A-B6BA-7268E94F8B90}"/>
  </hyperlinks>
  <pageMargins left="0.25" right="0.25" top="0.75" bottom="0.75" header="0.3" footer="0.3"/>
  <pageSetup scale="67"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1B9D-B904-4975-BD4F-CC54D4663047}">
  <sheetPr>
    <tabColor rgb="FF2E7D32"/>
  </sheetPr>
  <dimension ref="B2:F22"/>
  <sheetViews>
    <sheetView showGridLines="0" workbookViewId="0">
      <selection activeCell="D1" sqref="D1:G1048576"/>
    </sheetView>
  </sheetViews>
  <sheetFormatPr defaultRowHeight="14.4" x14ac:dyDescent="0.3"/>
  <cols>
    <col min="1" max="1" width="1.77734375" customWidth="1"/>
    <col min="2" max="2" width="11.109375" customWidth="1"/>
    <col min="3" max="3" width="55.5546875" customWidth="1"/>
    <col min="4" max="4" width="59.21875" customWidth="1"/>
    <col min="5" max="6" width="8.88671875" customWidth="1"/>
  </cols>
  <sheetData>
    <row r="2" spans="2:6" ht="40.049999999999997" customHeight="1" x14ac:dyDescent="0.3">
      <c r="B2" s="586" t="s">
        <v>1095</v>
      </c>
      <c r="C2" s="587" t="s">
        <v>1423</v>
      </c>
      <c r="D2" s="587"/>
      <c r="F2" s="269" t="s">
        <v>891</v>
      </c>
    </row>
    <row r="3" spans="2:6" ht="7.95" customHeight="1" x14ac:dyDescent="0.3">
      <c r="B3" s="586"/>
    </row>
    <row r="4" spans="2:6" ht="61.95" customHeight="1" x14ac:dyDescent="0.3">
      <c r="B4" s="586"/>
      <c r="C4" s="530" t="s">
        <v>1096</v>
      </c>
      <c r="D4" s="530"/>
    </row>
    <row r="6" spans="2:6" x14ac:dyDescent="0.3">
      <c r="B6" s="585" t="s">
        <v>1072</v>
      </c>
      <c r="C6" s="585"/>
      <c r="D6" s="585"/>
    </row>
    <row r="7" spans="2:6" x14ac:dyDescent="0.3">
      <c r="C7" s="526" t="s">
        <v>1097</v>
      </c>
      <c r="D7" s="526"/>
    </row>
    <row r="8" spans="2:6" x14ac:dyDescent="0.3">
      <c r="C8" s="526" t="s">
        <v>1098</v>
      </c>
      <c r="D8" s="526"/>
    </row>
    <row r="9" spans="2:6" x14ac:dyDescent="0.3">
      <c r="C9" s="526" t="s">
        <v>1099</v>
      </c>
      <c r="D9" s="526"/>
    </row>
    <row r="10" spans="2:6" x14ac:dyDescent="0.3">
      <c r="C10" s="526" t="s">
        <v>1100</v>
      </c>
      <c r="D10" s="526"/>
    </row>
    <row r="11" spans="2:6" x14ac:dyDescent="0.3">
      <c r="C11" s="526" t="s">
        <v>1101</v>
      </c>
      <c r="D11" s="526"/>
    </row>
    <row r="13" spans="2:6" x14ac:dyDescent="0.3">
      <c r="B13" s="585" t="s">
        <v>1077</v>
      </c>
      <c r="C13" s="585"/>
      <c r="D13" s="585"/>
    </row>
    <row r="14" spans="2:6" x14ac:dyDescent="0.3">
      <c r="B14" s="340" t="s">
        <v>1462</v>
      </c>
      <c r="C14" s="285" t="s">
        <v>869</v>
      </c>
      <c r="D14" s="285" t="s">
        <v>1078</v>
      </c>
    </row>
    <row r="15" spans="2:6" ht="24" x14ac:dyDescent="0.3">
      <c r="B15" s="435" t="s">
        <v>1438</v>
      </c>
      <c r="C15" s="413" t="s">
        <v>890</v>
      </c>
      <c r="D15" s="295" t="s">
        <v>1426</v>
      </c>
    </row>
    <row r="16" spans="2:6" x14ac:dyDescent="0.3">
      <c r="B16" s="435" t="s">
        <v>1439</v>
      </c>
      <c r="C16" s="413" t="s">
        <v>874</v>
      </c>
      <c r="D16" s="295" t="s">
        <v>1102</v>
      </c>
    </row>
    <row r="17" spans="2:4" x14ac:dyDescent="0.3">
      <c r="B17" s="435" t="s">
        <v>1440</v>
      </c>
      <c r="C17" s="413" t="s">
        <v>875</v>
      </c>
      <c r="D17" s="295" t="s">
        <v>1103</v>
      </c>
    </row>
    <row r="18" spans="2:4" x14ac:dyDescent="0.3">
      <c r="B18" s="435" t="s">
        <v>1441</v>
      </c>
      <c r="C18" s="413" t="s">
        <v>310</v>
      </c>
      <c r="D18" s="295" t="s">
        <v>1104</v>
      </c>
    </row>
    <row r="19" spans="2:4" x14ac:dyDescent="0.3">
      <c r="B19" s="435" t="s">
        <v>1442</v>
      </c>
      <c r="C19" s="413" t="s">
        <v>876</v>
      </c>
      <c r="D19" s="295" t="s">
        <v>1105</v>
      </c>
    </row>
    <row r="20" spans="2:4" ht="24" x14ac:dyDescent="0.3">
      <c r="B20" s="435" t="s">
        <v>1443</v>
      </c>
      <c r="C20" s="413" t="s">
        <v>877</v>
      </c>
      <c r="D20" s="295" t="s">
        <v>1427</v>
      </c>
    </row>
    <row r="21" spans="2:4" ht="24" x14ac:dyDescent="0.3">
      <c r="B21" s="435" t="s">
        <v>1444</v>
      </c>
      <c r="C21" s="413" t="s">
        <v>1218</v>
      </c>
      <c r="D21" s="295" t="s">
        <v>1219</v>
      </c>
    </row>
    <row r="22" spans="2:4" x14ac:dyDescent="0.3">
      <c r="B22" s="435" t="s">
        <v>1445</v>
      </c>
      <c r="C22" s="413" t="s">
        <v>878</v>
      </c>
      <c r="D22" s="295" t="s">
        <v>1106</v>
      </c>
    </row>
  </sheetData>
  <mergeCells count="10">
    <mergeCell ref="C9:D9"/>
    <mergeCell ref="C10:D10"/>
    <mergeCell ref="C11:D11"/>
    <mergeCell ref="B13:D13"/>
    <mergeCell ref="B2:B4"/>
    <mergeCell ref="C2:D2"/>
    <mergeCell ref="C4:D4"/>
    <mergeCell ref="B6:D6"/>
    <mergeCell ref="C7:D7"/>
    <mergeCell ref="C8:D8"/>
  </mergeCells>
  <hyperlinks>
    <hyperlink ref="C15" location="'Assumptions'!A1" tooltip="Go to Assumptions" display="Assumptions" xr:uid="{0CAE81C1-37BA-41FB-961E-96D59CEB590F}"/>
    <hyperlink ref="C16" location="'Revenue Forecast'!A1" tooltip="Go to Revenue Forecast" display="Revenue Forecast" xr:uid="{418F608E-2040-407C-B3EC-D4DAB2CD25D8}"/>
    <hyperlink ref="C17" location="'Funding Forecast'!A1" tooltip="Go to Funding Forecast" display="Funding Forecast" xr:uid="{B6BAECC5-4044-4FCD-A244-085FB7CC153A}"/>
    <hyperlink ref="C18" location="'Treasury'!A1" tooltip="Go to Treasury" display="Treasury" xr:uid="{4D91F41E-74E2-4E62-ACE3-E53011BB4B39}"/>
    <hyperlink ref="C19" location="'Credit Cost Forecast'!A1" tooltip="Go to Credit Cost Forecast" display="Credit Cost Forecast" xr:uid="{670A0C9F-FBBF-499A-B4D9-EE070828BF8A}"/>
    <hyperlink ref="C20" location="'Operating Cost Forecast'!A1" tooltip="Go to Operating Cost Forecast" display="Operating Cost Forecast" xr:uid="{401BE27A-19BE-41C9-8DC2-7313262A9F7D}"/>
    <hyperlink ref="F2" location="Home!A1" tooltip="Back to Home / Index" display="⌂ Home" xr:uid="{4145DA74-3D9E-499B-AEB5-363D66B1F799}"/>
    <hyperlink ref="C21" location="'Regulatory Capital'!A1" tooltip="Go to Regulatory Capital" display="Regulatory Capital" xr:uid="{F7ABAC17-4DFD-4C68-82BB-0666F3DCD6A2}"/>
    <hyperlink ref="C22" location="'CapEx &amp; Depreciation Schedule'!A1" tooltip="Go to CapEx &amp; Depreciation Schedule" display="CapEx &amp; Depreciation Schedule" xr:uid="{A66DC8FF-94E0-40A6-8065-9B8BB51C1271}"/>
  </hyperlinks>
  <pageMargins left="0.25" right="0.25"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77FB-A38F-47A7-950A-20679D9BC1A1}">
  <sheetPr>
    <tabColor rgb="FFC6E0B4"/>
  </sheetPr>
  <dimension ref="B1:L18"/>
  <sheetViews>
    <sheetView showGridLines="0" workbookViewId="0">
      <selection activeCell="H3" sqref="H1:M1048576"/>
    </sheetView>
  </sheetViews>
  <sheetFormatPr defaultRowHeight="14.4" x14ac:dyDescent="0.3"/>
  <cols>
    <col min="1" max="1" width="1.77734375" customWidth="1"/>
    <col min="2" max="2" width="55.5546875" customWidth="1"/>
    <col min="3" max="8" width="12.44140625" customWidth="1"/>
    <col min="9" max="9" width="8.88671875" customWidth="1"/>
    <col min="10" max="10" width="77.77734375" customWidth="1"/>
    <col min="11" max="12" width="8.88671875" customWidth="1"/>
  </cols>
  <sheetData>
    <row r="1" spans="2:12" ht="17.399999999999999" x14ac:dyDescent="0.3">
      <c r="B1" s="505" t="s">
        <v>408</v>
      </c>
      <c r="C1" s="549"/>
      <c r="D1" s="549"/>
      <c r="E1" s="549"/>
      <c r="F1" s="549"/>
      <c r="G1" s="549"/>
      <c r="H1" s="550"/>
      <c r="I1" s="195"/>
      <c r="J1" s="196"/>
      <c r="L1" s="269" t="s">
        <v>891</v>
      </c>
    </row>
    <row r="2" spans="2:12" ht="25.2" customHeight="1" x14ac:dyDescent="0.3">
      <c r="B2" s="508" t="s">
        <v>409</v>
      </c>
      <c r="C2" s="551"/>
      <c r="D2" s="551"/>
      <c r="E2" s="551"/>
      <c r="F2" s="551"/>
      <c r="G2" s="551"/>
      <c r="H2" s="552"/>
      <c r="I2" s="198"/>
      <c r="J2" s="199"/>
    </row>
    <row r="3" spans="2:12" x14ac:dyDescent="0.3">
      <c r="B3" s="26"/>
      <c r="H3" s="35"/>
      <c r="J3" s="35"/>
    </row>
    <row r="4" spans="2:12" ht="15" thickBot="1" x14ac:dyDescent="0.35">
      <c r="B4" s="47" t="s">
        <v>3</v>
      </c>
      <c r="C4" s="48" t="s">
        <v>256</v>
      </c>
      <c r="D4" s="48" t="s">
        <v>257</v>
      </c>
      <c r="E4" s="48" t="s">
        <v>258</v>
      </c>
      <c r="F4" s="48" t="s">
        <v>259</v>
      </c>
      <c r="G4" s="48" t="s">
        <v>260</v>
      </c>
      <c r="H4" s="64" t="s">
        <v>261</v>
      </c>
      <c r="I4" s="96"/>
      <c r="J4" s="97" t="s">
        <v>406</v>
      </c>
    </row>
    <row r="5" spans="2:12" x14ac:dyDescent="0.3">
      <c r="B5" s="26"/>
      <c r="H5" s="35"/>
      <c r="J5" s="93"/>
    </row>
    <row r="6" spans="2:12" x14ac:dyDescent="0.3">
      <c r="B6" s="28" t="s">
        <v>410</v>
      </c>
      <c r="H6" s="35"/>
      <c r="J6" s="93"/>
    </row>
    <row r="7" spans="2:12" ht="36" x14ac:dyDescent="0.3">
      <c r="B7" s="26" t="s">
        <v>411</v>
      </c>
      <c r="C7" s="257">
        <v>7.6999999999999999E-2</v>
      </c>
      <c r="D7" s="255">
        <v>7.0000000000000007E-2</v>
      </c>
      <c r="E7" s="255">
        <v>6.8000000000000005E-2</v>
      </c>
      <c r="F7" s="255">
        <v>6.7000000000000004E-2</v>
      </c>
      <c r="G7" s="255">
        <v>6.6000000000000003E-2</v>
      </c>
      <c r="H7" s="256">
        <v>6.5000000000000002E-2</v>
      </c>
      <c r="J7" s="94" t="s">
        <v>412</v>
      </c>
    </row>
    <row r="8" spans="2:12" ht="24" x14ac:dyDescent="0.3">
      <c r="B8" s="26" t="s">
        <v>413</v>
      </c>
      <c r="C8" s="257">
        <v>1.7999999999999999E-2</v>
      </c>
      <c r="D8" s="255">
        <v>3.5000000000000003E-2</v>
      </c>
      <c r="E8" s="255">
        <v>0.04</v>
      </c>
      <c r="F8" s="255">
        <v>0.04</v>
      </c>
      <c r="G8" s="255">
        <v>0.04</v>
      </c>
      <c r="H8" s="256">
        <v>0.04</v>
      </c>
      <c r="J8" s="94" t="s">
        <v>414</v>
      </c>
    </row>
    <row r="9" spans="2:12" ht="36" x14ac:dyDescent="0.3">
      <c r="B9" s="26" t="s">
        <v>415</v>
      </c>
      <c r="C9" s="257">
        <v>5.2499999999999998E-2</v>
      </c>
      <c r="D9" s="255">
        <v>5.2499999999999998E-2</v>
      </c>
      <c r="E9" s="255">
        <v>5.5E-2</v>
      </c>
      <c r="F9" s="255">
        <v>5.7500000000000002E-2</v>
      </c>
      <c r="G9" s="255">
        <v>5.7500000000000002E-2</v>
      </c>
      <c r="H9" s="256">
        <v>5.7500000000000002E-2</v>
      </c>
      <c r="J9" s="94" t="s">
        <v>416</v>
      </c>
    </row>
    <row r="10" spans="2:12" ht="36" x14ac:dyDescent="0.3">
      <c r="B10" s="26" t="s">
        <v>417</v>
      </c>
      <c r="C10" s="89"/>
      <c r="D10" s="255">
        <v>0.17499999999999999</v>
      </c>
      <c r="E10" s="255">
        <v>0.16</v>
      </c>
      <c r="F10" s="255">
        <v>0.15</v>
      </c>
      <c r="G10" s="255">
        <v>0.14499999999999999</v>
      </c>
      <c r="H10" s="256">
        <v>0.14000000000000001</v>
      </c>
      <c r="J10" s="94" t="s">
        <v>418</v>
      </c>
    </row>
    <row r="11" spans="2:12" x14ac:dyDescent="0.3">
      <c r="B11" s="26"/>
      <c r="H11" s="35"/>
      <c r="J11" s="93"/>
    </row>
    <row r="12" spans="2:12" x14ac:dyDescent="0.3">
      <c r="B12" s="28" t="s">
        <v>419</v>
      </c>
      <c r="H12" s="35"/>
      <c r="J12" s="93"/>
    </row>
    <row r="13" spans="2:12" ht="36" x14ac:dyDescent="0.3">
      <c r="B13" s="26" t="s">
        <v>420</v>
      </c>
      <c r="D13" s="90">
        <v>150</v>
      </c>
      <c r="E13" s="90">
        <v>130</v>
      </c>
      <c r="F13" s="90">
        <v>100</v>
      </c>
      <c r="G13" s="90">
        <v>90</v>
      </c>
      <c r="H13" s="120">
        <v>80</v>
      </c>
      <c r="J13" s="94" t="s">
        <v>421</v>
      </c>
    </row>
    <row r="14" spans="2:12" ht="36" x14ac:dyDescent="0.3">
      <c r="B14" s="26" t="s">
        <v>422</v>
      </c>
      <c r="C14" s="261">
        <v>11.72</v>
      </c>
      <c r="D14" s="266">
        <v>11.5</v>
      </c>
      <c r="E14" s="266">
        <v>11.2</v>
      </c>
      <c r="F14" s="266">
        <v>11</v>
      </c>
      <c r="G14" s="266">
        <v>10.8</v>
      </c>
      <c r="H14" s="267">
        <v>10.6</v>
      </c>
      <c r="J14" s="94" t="s">
        <v>423</v>
      </c>
    </row>
    <row r="15" spans="2:12" ht="24" x14ac:dyDescent="0.3">
      <c r="B15" s="26" t="s">
        <v>424</v>
      </c>
      <c r="D15" s="255">
        <v>0.08</v>
      </c>
      <c r="E15" s="255">
        <v>0.08</v>
      </c>
      <c r="F15" s="255">
        <v>0.08</v>
      </c>
      <c r="G15" s="255">
        <v>7.4999999999999997E-2</v>
      </c>
      <c r="H15" s="256">
        <v>7.4999999999999997E-2</v>
      </c>
      <c r="J15" s="94" t="s">
        <v>425</v>
      </c>
    </row>
    <row r="16" spans="2:12" ht="24" x14ac:dyDescent="0.3">
      <c r="B16" s="26" t="s">
        <v>508</v>
      </c>
      <c r="C16" s="268">
        <v>0.25169999999999998</v>
      </c>
      <c r="D16" s="91">
        <v>0.25169999999999998</v>
      </c>
      <c r="E16" s="91">
        <v>0.25169999999999998</v>
      </c>
      <c r="F16" s="91">
        <v>0.25169999999999998</v>
      </c>
      <c r="G16" s="91">
        <v>0.25169999999999998</v>
      </c>
      <c r="H16" s="139">
        <v>0.25169999999999998</v>
      </c>
      <c r="J16" s="94" t="s">
        <v>407</v>
      </c>
    </row>
    <row r="17" spans="2:10" x14ac:dyDescent="0.3">
      <c r="B17" s="26"/>
      <c r="H17" s="35"/>
      <c r="J17" s="35"/>
    </row>
    <row r="18" spans="2:10" ht="24" x14ac:dyDescent="0.3">
      <c r="B18" s="70" t="s">
        <v>562</v>
      </c>
      <c r="C18" s="92">
        <v>2</v>
      </c>
      <c r="D18" s="24">
        <f>C18</f>
        <v>2</v>
      </c>
      <c r="E18" s="24">
        <f>D18</f>
        <v>2</v>
      </c>
      <c r="F18" s="24">
        <f>E18</f>
        <v>2</v>
      </c>
      <c r="G18" s="24">
        <f>F18</f>
        <v>2</v>
      </c>
      <c r="H18" s="109">
        <f>G18</f>
        <v>2</v>
      </c>
      <c r="I18" s="24"/>
      <c r="J18" s="95" t="s">
        <v>563</v>
      </c>
    </row>
  </sheetData>
  <mergeCells count="2">
    <mergeCell ref="B1:H1"/>
    <mergeCell ref="B2:H2"/>
  </mergeCells>
  <hyperlinks>
    <hyperlink ref="L1" location="Home!A1" tooltip="Back to Home / Index" display="⌂ Home" xr:uid="{5DDACFC2-90A8-4FD3-B6D8-25E2D2EF176C}"/>
  </hyperlinks>
  <pageMargins left="0.25" right="0.25"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069-25EB-4E2C-9ACE-9588840A631A}">
  <sheetPr>
    <tabColor rgb="FFC6E0B4"/>
  </sheetPr>
  <dimension ref="B1:L13"/>
  <sheetViews>
    <sheetView showGridLines="0" workbookViewId="0">
      <selection activeCell="H3" sqref="H1:M1048576"/>
    </sheetView>
  </sheetViews>
  <sheetFormatPr defaultRowHeight="25.2" customHeight="1" x14ac:dyDescent="0.3"/>
  <cols>
    <col min="1" max="1" width="1.77734375" customWidth="1"/>
    <col min="2" max="2" width="43.77734375" bestFit="1" customWidth="1"/>
    <col min="3" max="8" width="14.44140625" customWidth="1"/>
    <col min="9" max="9" width="8.88671875" customWidth="1"/>
    <col min="10" max="10" width="77" customWidth="1"/>
    <col min="11" max="12" width="8.88671875" customWidth="1"/>
  </cols>
  <sheetData>
    <row r="1" spans="2:12" ht="25.2" customHeight="1" x14ac:dyDescent="0.3">
      <c r="B1" s="505" t="s">
        <v>455</v>
      </c>
      <c r="C1" s="549"/>
      <c r="D1" s="549"/>
      <c r="E1" s="549"/>
      <c r="F1" s="549"/>
      <c r="G1" s="549"/>
      <c r="H1" s="550"/>
      <c r="I1" s="195"/>
      <c r="J1" s="196"/>
      <c r="L1" s="269" t="s">
        <v>891</v>
      </c>
    </row>
    <row r="2" spans="2:12" ht="25.2" customHeight="1" x14ac:dyDescent="0.3">
      <c r="B2" s="508" t="s">
        <v>456</v>
      </c>
      <c r="C2" s="551"/>
      <c r="D2" s="551"/>
      <c r="E2" s="551"/>
      <c r="F2" s="551"/>
      <c r="G2" s="551"/>
      <c r="H2" s="552"/>
      <c r="I2" s="198"/>
      <c r="J2" s="199"/>
    </row>
    <row r="3" spans="2:12" ht="14.4" x14ac:dyDescent="0.3">
      <c r="B3" s="26"/>
      <c r="H3" s="35"/>
      <c r="J3" s="35"/>
    </row>
    <row r="4" spans="2:12" ht="25.2" customHeight="1" thickBot="1" x14ac:dyDescent="0.35">
      <c r="B4" s="47" t="s">
        <v>3</v>
      </c>
      <c r="C4" s="48" t="s">
        <v>256</v>
      </c>
      <c r="D4" s="48" t="s">
        <v>257</v>
      </c>
      <c r="E4" s="48" t="s">
        <v>258</v>
      </c>
      <c r="F4" s="48" t="s">
        <v>259</v>
      </c>
      <c r="G4" s="48" t="s">
        <v>260</v>
      </c>
      <c r="H4" s="64" t="s">
        <v>261</v>
      </c>
      <c r="I4" s="96"/>
      <c r="J4" s="97" t="s">
        <v>406</v>
      </c>
    </row>
    <row r="5" spans="2:12" ht="25.2" customHeight="1" x14ac:dyDescent="0.3">
      <c r="B5" s="26"/>
      <c r="H5" s="35"/>
      <c r="J5" s="93"/>
    </row>
    <row r="6" spans="2:12" ht="25.2" customHeight="1" x14ac:dyDescent="0.3">
      <c r="B6" s="26" t="s">
        <v>457</v>
      </c>
      <c r="D6" s="65">
        <f>'Business Drivers'!D18+('Business Drivers'!D21-'Business Drivers'!D18)/2</f>
        <v>71163.979249999989</v>
      </c>
      <c r="E6" s="65">
        <f>'Business Drivers'!E18+('Business Drivers'!E21-'Business Drivers'!E18)/2</f>
        <v>104243.08651249998</v>
      </c>
      <c r="F6" s="65">
        <f>'Business Drivers'!F18+('Business Drivers'!F21-'Business Drivers'!F18)/2</f>
        <v>142437.50623312499</v>
      </c>
      <c r="G6" s="65">
        <f>'Business Drivers'!G18+('Business Drivers'!G21-'Business Drivers'!G18)/2</f>
        <v>185313.25405153126</v>
      </c>
      <c r="H6" s="72">
        <f>'Business Drivers'!H18+('Business Drivers'!H21-'Business Drivers'!H18)/2</f>
        <v>233151.49013349536</v>
      </c>
      <c r="J6" s="93"/>
    </row>
    <row r="7" spans="2:12" ht="25.2" customHeight="1" x14ac:dyDescent="0.3">
      <c r="B7" s="26" t="s">
        <v>530</v>
      </c>
      <c r="D7" s="255">
        <f>0.145+'Scenario Analysis'!$C$17</f>
        <v>0.14499999999999999</v>
      </c>
      <c r="E7" s="255">
        <f>0.14+'Scenario Analysis'!$C$17</f>
        <v>0.14000000000000001</v>
      </c>
      <c r="F7" s="255">
        <f>0.135+'Scenario Analysis'!$C$17</f>
        <v>0.13500000000000001</v>
      </c>
      <c r="G7" s="255">
        <f>0.13+'Scenario Analysis'!$C$17</f>
        <v>0.13</v>
      </c>
      <c r="H7" s="256">
        <f>0.127+'Scenario Analysis'!$C$17</f>
        <v>0.127</v>
      </c>
      <c r="J7" s="94" t="s">
        <v>458</v>
      </c>
    </row>
    <row r="8" spans="2:12" ht="25.2" customHeight="1" x14ac:dyDescent="0.3">
      <c r="B8" s="31" t="s">
        <v>263</v>
      </c>
      <c r="C8" s="240">
        <f>'Profit &amp; Loss'!H8</f>
        <v>6140.81</v>
      </c>
      <c r="D8" s="79">
        <f>D6*D7</f>
        <v>10318.776991249997</v>
      </c>
      <c r="E8" s="79">
        <f>E6*E7</f>
        <v>14594.032111749999</v>
      </c>
      <c r="F8" s="79">
        <f>F6*F7</f>
        <v>19229.063341471876</v>
      </c>
      <c r="G8" s="79">
        <f>G6*G7</f>
        <v>24090.723026699063</v>
      </c>
      <c r="H8" s="87">
        <f>H6*H7</f>
        <v>29610.239246953912</v>
      </c>
      <c r="J8" s="93"/>
    </row>
    <row r="9" spans="2:12" ht="25.2" customHeight="1" x14ac:dyDescent="0.3">
      <c r="B9" s="26" t="s">
        <v>459</v>
      </c>
      <c r="D9" s="255">
        <v>7.4999999999999997E-3</v>
      </c>
      <c r="E9" s="255">
        <v>7.4999999999999997E-3</v>
      </c>
      <c r="F9" s="255">
        <v>8.0000000000000002E-3</v>
      </c>
      <c r="G9" s="255">
        <v>8.0000000000000002E-3</v>
      </c>
      <c r="H9" s="256">
        <v>8.5000000000000006E-3</v>
      </c>
      <c r="J9" s="94" t="s">
        <v>460</v>
      </c>
    </row>
    <row r="10" spans="2:12" ht="25.2" customHeight="1" x14ac:dyDescent="0.3">
      <c r="B10" s="26" t="s">
        <v>461</v>
      </c>
      <c r="C10" s="17">
        <f>'Profit &amp; Loss'!H10</f>
        <v>419.75</v>
      </c>
      <c r="D10" s="65">
        <f>D6*D9</f>
        <v>533.72984437499986</v>
      </c>
      <c r="E10" s="65">
        <f>E6*E9</f>
        <v>781.82314884374989</v>
      </c>
      <c r="F10" s="65">
        <f>F6*F9</f>
        <v>1139.5000498649999</v>
      </c>
      <c r="G10" s="65">
        <f>G6*G9</f>
        <v>1482.5060324122501</v>
      </c>
      <c r="H10" s="72">
        <f>H6*H9</f>
        <v>1981.7876661347107</v>
      </c>
      <c r="J10" s="93"/>
    </row>
    <row r="11" spans="2:12" ht="25.2" customHeight="1" x14ac:dyDescent="0.3">
      <c r="B11" s="26" t="s">
        <v>462</v>
      </c>
      <c r="D11" s="255">
        <v>5.4999999999999997E-3</v>
      </c>
      <c r="E11" s="255">
        <v>5.4999999999999997E-3</v>
      </c>
      <c r="F11" s="255">
        <v>4.4999999999999997E-3</v>
      </c>
      <c r="G11" s="255">
        <v>4.4999999999999997E-3</v>
      </c>
      <c r="H11" s="256">
        <v>4.4999999999999997E-3</v>
      </c>
      <c r="J11" s="94" t="s">
        <v>463</v>
      </c>
    </row>
    <row r="12" spans="2:12" ht="25.2" customHeight="1" x14ac:dyDescent="0.3">
      <c r="B12" s="26" t="s">
        <v>464</v>
      </c>
      <c r="C12" s="65">
        <f>C13-C8-C10</f>
        <v>235.09000000000015</v>
      </c>
      <c r="D12" s="65">
        <f>D6*D11</f>
        <v>391.40188587499989</v>
      </c>
      <c r="E12" s="65">
        <f>E6*E11</f>
        <v>573.33697581874992</v>
      </c>
      <c r="F12" s="65">
        <f>F6*F11</f>
        <v>640.96877804906239</v>
      </c>
      <c r="G12" s="65">
        <f>G6*G11</f>
        <v>833.90964323189064</v>
      </c>
      <c r="H12" s="72">
        <f>H6*H11</f>
        <v>1049.1817056007289</v>
      </c>
      <c r="J12" s="93"/>
    </row>
    <row r="13" spans="2:12" ht="25.2" customHeight="1" x14ac:dyDescent="0.3">
      <c r="B13" s="106" t="s">
        <v>465</v>
      </c>
      <c r="C13" s="104">
        <f>'Profit &amp; Loss'!H15</f>
        <v>6795.6500000000005</v>
      </c>
      <c r="D13" s="105">
        <f>D8+D10+D12</f>
        <v>11243.908721499998</v>
      </c>
      <c r="E13" s="105">
        <f>E8+E10+E12</f>
        <v>15949.192236412498</v>
      </c>
      <c r="F13" s="105">
        <f>F8+F10+F12</f>
        <v>21009.532169385941</v>
      </c>
      <c r="G13" s="105">
        <f>G8+G10+G12</f>
        <v>26407.138702343203</v>
      </c>
      <c r="H13" s="122">
        <f>H8+H10+H12</f>
        <v>32641.20861868935</v>
      </c>
      <c r="I13" s="24"/>
      <c r="J13" s="103"/>
    </row>
  </sheetData>
  <mergeCells count="2">
    <mergeCell ref="B1:H1"/>
    <mergeCell ref="B2:H2"/>
  </mergeCells>
  <hyperlinks>
    <hyperlink ref="L1" location="Home!A1" tooltip="Back to Home / Index" display="⌂ Home" xr:uid="{169835D4-1CCD-4CD3-9C20-96E4CB0C4097}"/>
  </hyperlinks>
  <pageMargins left="0.25" right="0.25" top="0.75" bottom="0.75" header="0.3" footer="0.3"/>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9AAB1-5B96-4490-BB50-0A51F1C8B687}">
  <sheetPr>
    <tabColor rgb="FFC6E0B4"/>
  </sheetPr>
  <dimension ref="B1:L16"/>
  <sheetViews>
    <sheetView showGridLines="0" workbookViewId="0">
      <selection activeCell="H3" sqref="H1:M1048576"/>
    </sheetView>
  </sheetViews>
  <sheetFormatPr defaultRowHeight="14.4" x14ac:dyDescent="0.3"/>
  <cols>
    <col min="1" max="1" width="1.77734375" customWidth="1"/>
    <col min="2" max="2" width="44.6640625" bestFit="1" customWidth="1"/>
    <col min="3" max="8" width="14.21875" customWidth="1"/>
    <col min="9" max="9" width="8.88671875" customWidth="1"/>
    <col min="10" max="10" width="77.77734375" customWidth="1"/>
    <col min="11" max="12" width="8.88671875" customWidth="1"/>
  </cols>
  <sheetData>
    <row r="1" spans="2:12" ht="17.399999999999999" x14ac:dyDescent="0.3">
      <c r="B1" s="505" t="s">
        <v>466</v>
      </c>
      <c r="C1" s="549"/>
      <c r="D1" s="549"/>
      <c r="E1" s="549"/>
      <c r="F1" s="549"/>
      <c r="G1" s="549"/>
      <c r="H1" s="550"/>
      <c r="I1" s="195"/>
      <c r="J1" s="196"/>
      <c r="L1" s="269" t="s">
        <v>891</v>
      </c>
    </row>
    <row r="2" spans="2:12" ht="25.8" customHeight="1" x14ac:dyDescent="0.3">
      <c r="B2" s="508" t="s">
        <v>1225</v>
      </c>
      <c r="C2" s="551"/>
      <c r="D2" s="551"/>
      <c r="E2" s="551"/>
      <c r="F2" s="551"/>
      <c r="G2" s="551"/>
      <c r="H2" s="552"/>
      <c r="I2" s="198"/>
      <c r="J2" s="199"/>
    </row>
    <row r="3" spans="2:12" x14ac:dyDescent="0.3">
      <c r="B3" s="26"/>
      <c r="H3" s="35"/>
      <c r="J3" s="35"/>
    </row>
    <row r="4" spans="2:12" ht="15" thickBot="1" x14ac:dyDescent="0.35">
      <c r="B4" s="47" t="s">
        <v>3</v>
      </c>
      <c r="C4" s="48" t="s">
        <v>256</v>
      </c>
      <c r="D4" s="48" t="s">
        <v>257</v>
      </c>
      <c r="E4" s="48" t="s">
        <v>258</v>
      </c>
      <c r="F4" s="48" t="s">
        <v>259</v>
      </c>
      <c r="G4" s="48" t="s">
        <v>260</v>
      </c>
      <c r="H4" s="64" t="s">
        <v>261</v>
      </c>
      <c r="I4" s="96"/>
      <c r="J4" s="97" t="s">
        <v>406</v>
      </c>
    </row>
    <row r="5" spans="2:12" x14ac:dyDescent="0.3">
      <c r="B5" s="26"/>
      <c r="H5" s="35"/>
      <c r="J5" s="93"/>
    </row>
    <row r="6" spans="2:12" x14ac:dyDescent="0.3">
      <c r="B6" s="26" t="s">
        <v>467</v>
      </c>
      <c r="C6" s="17">
        <f>'Business Drivers'!C21</f>
        <v>55951.49</v>
      </c>
      <c r="D6" s="17">
        <f>'Business Drivers'!D21</f>
        <v>86376.468499999988</v>
      </c>
      <c r="E6" s="17">
        <f>'Business Drivers'!E21</f>
        <v>122109.70452499999</v>
      </c>
      <c r="F6" s="17">
        <f>'Business Drivers'!F21</f>
        <v>162765.30794125001</v>
      </c>
      <c r="G6" s="17">
        <f>'Business Drivers'!G21</f>
        <v>207861.20016181254</v>
      </c>
      <c r="H6" s="39">
        <f>'Business Drivers'!H21</f>
        <v>258441.78010517822</v>
      </c>
      <c r="J6" s="93"/>
    </row>
    <row r="7" spans="2:12" ht="60" x14ac:dyDescent="0.3">
      <c r="B7" s="26" t="s">
        <v>1226</v>
      </c>
      <c r="C7" s="257">
        <v>0.86</v>
      </c>
      <c r="D7" s="255">
        <f>IFERROR(D8/D6,"")</f>
        <v>0.84980051068939644</v>
      </c>
      <c r="E7" s="255">
        <f>IFERROR(E8/E6,"")</f>
        <v>0.8344845818379254</v>
      </c>
      <c r="F7" s="255">
        <f>IFERROR(F8/F6,"")</f>
        <v>0.82509786470812119</v>
      </c>
      <c r="G7" s="255">
        <f>IFERROR(G8/G6,"")</f>
        <v>0.8180430751603458</v>
      </c>
      <c r="H7" s="256">
        <f>IFERROR(H8/H6,"")</f>
        <v>0.81281908857179308</v>
      </c>
      <c r="J7" s="94" t="str">
        <f>"OUTPUT, not an assumption. FY2026A actual: Total Borrowings ÷ AUM = "&amp;TEXT(C8,"#,##0")&amp;" ÷ "&amp;TEXT(C6,"#,##0")&amp;" = "&amp;TEXT(C7,"0.0%")&amp;" (Treasury tab). "&amp;"Forecast years are COMPUTED, not held flat: total borrowings are the residual funding requirement from the Balance Sheet - total assets less RWA-driven equity less non-debt liabilities - "&amp;"so the ratio DECLINES to "&amp;TEXT(H7,"0.0%")&amp;" by FY2031E as equity is sized to the "&amp;TEXT('Regulatory Capital'!$C$39,"0%")&amp;" target CRAR. An earlier version of this model held the ratio flat as an input; it no longer does."</f>
        <v>OUTPUT, not an assumption. FY2026A actual: Total Borrowings ÷ AUM = 48,118 ÷ 55,951 = 86.0% (Treasury tab). Forecast years are COMPUTED, not held flat: total borrowings are the residual funding requirement from the Balance Sheet - total assets less RWA-driven equity less non-debt liabilities - so the ratio DECLINES to 81.3% by FY2031E as equity is sized to the 18% target CRAR. An earlier version of this model held the ratio flat as an input; it no longer does.</v>
      </c>
    </row>
    <row r="8" spans="2:12" x14ac:dyDescent="0.3">
      <c r="B8" s="31" t="s">
        <v>1227</v>
      </c>
      <c r="C8" s="79">
        <f t="shared" ref="C8" si="0">C6*C7</f>
        <v>48118.2814</v>
      </c>
      <c r="D8" s="79">
        <f>'Balance Sheet'!I39+'Balance Sheet'!I40+'Balance Sheet'!I41</f>
        <v>73402.76704284655</v>
      </c>
      <c r="E8" s="79">
        <f>'Balance Sheet'!J39+'Balance Sheet'!J40+'Balance Sheet'!J41</f>
        <v>101898.66571889725</v>
      </c>
      <c r="F8" s="79">
        <f>'Balance Sheet'!K39+'Balance Sheet'!K40+'Balance Sheet'!K41</f>
        <v>134297.30803088518</v>
      </c>
      <c r="G8" s="79">
        <f>'Balance Sheet'!L39+'Balance Sheet'!L40+'Balance Sheet'!L41</f>
        <v>170039.4153868893</v>
      </c>
      <c r="H8" s="87">
        <f>'Balance Sheet'!M39+'Balance Sheet'!M40+'Balance Sheet'!M41</f>
        <v>210066.41215396271</v>
      </c>
      <c r="J8" s="93"/>
    </row>
    <row r="9" spans="2:12" x14ac:dyDescent="0.3">
      <c r="B9" s="26" t="s">
        <v>264</v>
      </c>
      <c r="D9" s="65">
        <f>AVERAGE(C8:D8)</f>
        <v>60760.524221423271</v>
      </c>
      <c r="E9" s="65">
        <f>AVERAGE(D8:E8)</f>
        <v>87650.716380871891</v>
      </c>
      <c r="F9" s="65">
        <f>AVERAGE(E8:F8)</f>
        <v>118097.98687489121</v>
      </c>
      <c r="G9" s="65">
        <f>AVERAGE(F8:G8)</f>
        <v>152168.36170888724</v>
      </c>
      <c r="H9" s="72">
        <f>AVERAGE(G8:H8)</f>
        <v>190052.91377042601</v>
      </c>
      <c r="J9" s="93"/>
    </row>
    <row r="10" spans="2:12" ht="48" x14ac:dyDescent="0.3">
      <c r="B10" s="26" t="s">
        <v>531</v>
      </c>
      <c r="C10" s="257">
        <v>7.7299999999999994E-2</v>
      </c>
      <c r="D10" s="255">
        <f>0.075+'Scenario Analysis'!$C$18</f>
        <v>7.4999999999999997E-2</v>
      </c>
      <c r="E10" s="255">
        <f>0.073+'Scenario Analysis'!$C$18</f>
        <v>7.2999999999999995E-2</v>
      </c>
      <c r="F10" s="255">
        <f>0.072+'Scenario Analysis'!$C$18</f>
        <v>7.1999999999999995E-2</v>
      </c>
      <c r="G10" s="255">
        <f>0.071+'Scenario Analysis'!$C$18</f>
        <v>7.0999999999999994E-2</v>
      </c>
      <c r="H10" s="256">
        <f>0.07+'Scenario Analysis'!$C$18</f>
        <v>7.0000000000000007E-2</v>
      </c>
      <c r="J10" s="94" t="s">
        <v>468</v>
      </c>
    </row>
    <row r="11" spans="2:12" x14ac:dyDescent="0.3">
      <c r="B11" s="31" t="s">
        <v>469</v>
      </c>
      <c r="C11" s="240">
        <f>'Profit &amp; Loss'!H17</f>
        <v>2766.67</v>
      </c>
      <c r="D11" s="79">
        <f>D9*D10</f>
        <v>4557.0393166067452</v>
      </c>
      <c r="E11" s="79">
        <f>E9*E10</f>
        <v>6398.5022958036479</v>
      </c>
      <c r="F11" s="79">
        <f>F9*F10</f>
        <v>8503.0550549921663</v>
      </c>
      <c r="G11" s="79">
        <f>G9*G10</f>
        <v>10803.953681330993</v>
      </c>
      <c r="H11" s="87">
        <f>H9*H10</f>
        <v>13303.703963929822</v>
      </c>
      <c r="J11" s="93"/>
    </row>
    <row r="12" spans="2:12" x14ac:dyDescent="0.3">
      <c r="B12" s="26" t="s">
        <v>1228</v>
      </c>
      <c r="D12" s="241">
        <f>IFERROR(D8/'Balance Sheet'!I55,"")</f>
        <v>4.2894582424083758</v>
      </c>
      <c r="E12" s="241">
        <f>IFERROR(E8/'Balance Sheet'!J55,"")</f>
        <v>4.1568605552550197</v>
      </c>
      <c r="F12" s="241">
        <f>IFERROR(F8/'Balance Sheet'!K55,"")</f>
        <v>4.0967436532103694</v>
      </c>
      <c r="G12" s="241">
        <f>IFERROR(G8/'Balance Sheet'!L55,"")</f>
        <v>4.063024947433747</v>
      </c>
      <c r="H12" s="242">
        <f>IFERROR(H8/'Balance Sheet'!M55,"")</f>
        <v>4.04763355281111</v>
      </c>
      <c r="J12" s="93"/>
    </row>
    <row r="13" spans="2:12" x14ac:dyDescent="0.3">
      <c r="B13" s="34" t="s">
        <v>470</v>
      </c>
      <c r="C13" s="107">
        <f>'Balance Sheet'!H55</f>
        <v>10348.24</v>
      </c>
      <c r="D13" s="24"/>
      <c r="E13" s="24"/>
      <c r="F13" s="24"/>
      <c r="G13" s="24"/>
      <c r="H13" s="109"/>
      <c r="I13" s="24"/>
      <c r="J13" s="103"/>
    </row>
    <row r="15" spans="2:12" x14ac:dyDescent="0.3">
      <c r="B15" s="322" t="s">
        <v>1400</v>
      </c>
      <c r="C15" s="322"/>
      <c r="D15" s="322"/>
      <c r="E15" s="322"/>
      <c r="F15" s="322"/>
      <c r="G15" s="322"/>
      <c r="H15" s="322"/>
      <c r="I15" s="322"/>
      <c r="J15" s="322"/>
      <c r="K15" s="322"/>
      <c r="L15" s="322"/>
    </row>
    <row r="16" spans="2:12" ht="58.8" customHeight="1" x14ac:dyDescent="0.3">
      <c r="B16" s="588" t="str">
        <f>"Row 7 divides borrowings by GROSS AUM (Business Drivers row 21, ₹"&amp;TEXT(H6,"#,##0")&amp;" Cr at FY2031E), the market convention for a funding ratio. The Balance Sheet carries Loans NET of expected credit loss (₹"&amp;TEXT('Balance Sheet'!M14,"#,##0")&amp;" Cr). "&amp;"The ₹"&amp;TEXT(H6-'Balance Sheet'!M14,"#,##0")&amp;" Cr difference is cumulative forecast credit cost, not a reconciling error - both series start from the same ₹"&amp;TEXT(C6,"#,##0")&amp;" Cr FY2026A on-book base. "&amp;"On the net-of-ECL denominator the same borrowings equal "&amp;TEXT(H8/'Balance Sheet'!M14,"0.0%")&amp;". Row 7 is the figure quoted everywhere else in the workbook - do not mix the two."</f>
        <v>Row 7 divides borrowings by GROSS AUM (Business Drivers row 21, ₹2,58,442 Cr at FY2031E), the market convention for a funding ratio. The Balance Sheet carries Loans NET of expected credit loss (₹2,46,012 Cr). The ₹12,430 Cr difference is cumulative forecast credit cost, not a reconciling error - both series start from the same ₹55,951 Cr FY2026A on-book base. On the net-of-ECL denominator the same borrowings equal 85.4%. Row 7 is the figure quoted everywhere else in the workbook - do not mix the two.</v>
      </c>
      <c r="C16" s="588"/>
      <c r="D16" s="588"/>
      <c r="E16" s="588"/>
      <c r="F16" s="588"/>
      <c r="G16" s="588"/>
      <c r="H16" s="588"/>
    </row>
  </sheetData>
  <mergeCells count="3">
    <mergeCell ref="B1:H1"/>
    <mergeCell ref="B2:H2"/>
    <mergeCell ref="B16:H16"/>
  </mergeCells>
  <hyperlinks>
    <hyperlink ref="L1" location="Home!A1" tooltip="Back to Home / Index" display="⌂ Home" xr:uid="{3B5CE675-A55B-4BA0-B343-13E339B15367}"/>
  </hyperlinks>
  <pageMargins left="0.25" right="0.25" top="0.75" bottom="0.75" header="0.3" footer="0.3"/>
  <pageSetup orientation="landscap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AD93-6B71-45DC-9BDC-BE84F41525A5}">
  <sheetPr>
    <tabColor rgb="FFC6E0B4"/>
  </sheetPr>
  <dimension ref="B1:J20"/>
  <sheetViews>
    <sheetView showGridLines="0" workbookViewId="0">
      <selection activeCell="H3" sqref="H1:K1048576"/>
    </sheetView>
  </sheetViews>
  <sheetFormatPr defaultRowHeight="14.4" x14ac:dyDescent="0.3"/>
  <cols>
    <col min="1" max="1" width="1.77734375" customWidth="1"/>
    <col min="2" max="2" width="48.44140625" customWidth="1"/>
    <col min="3" max="8" width="12.88671875" customWidth="1"/>
    <col min="9" max="10" width="8.88671875" customWidth="1"/>
  </cols>
  <sheetData>
    <row r="1" spans="2:10" ht="24" customHeight="1" x14ac:dyDescent="0.3">
      <c r="B1" s="505" t="s">
        <v>241</v>
      </c>
      <c r="C1" s="549"/>
      <c r="D1" s="549"/>
      <c r="E1" s="549"/>
      <c r="F1" s="549"/>
      <c r="G1" s="549"/>
      <c r="H1" s="550"/>
      <c r="J1" s="269" t="s">
        <v>891</v>
      </c>
    </row>
    <row r="2" spans="2:10" ht="36" customHeight="1" x14ac:dyDescent="0.3">
      <c r="B2" s="508" t="s">
        <v>242</v>
      </c>
      <c r="C2" s="551"/>
      <c r="D2" s="551"/>
      <c r="E2" s="551"/>
      <c r="F2" s="551"/>
      <c r="G2" s="551"/>
      <c r="H2" s="552"/>
    </row>
    <row r="3" spans="2:10" x14ac:dyDescent="0.3">
      <c r="B3" s="26"/>
      <c r="H3" s="35"/>
    </row>
    <row r="4" spans="2:10" ht="15" thickBot="1" x14ac:dyDescent="0.35">
      <c r="B4" s="47" t="s">
        <v>3</v>
      </c>
      <c r="C4" s="48" t="s">
        <v>4</v>
      </c>
      <c r="D4" s="48" t="s">
        <v>5</v>
      </c>
      <c r="E4" s="48" t="s">
        <v>6</v>
      </c>
      <c r="F4" s="48" t="s">
        <v>7</v>
      </c>
      <c r="G4" s="48" t="s">
        <v>8</v>
      </c>
      <c r="H4" s="64" t="s">
        <v>9</v>
      </c>
    </row>
    <row r="5" spans="2:10" x14ac:dyDescent="0.3">
      <c r="B5" s="26"/>
      <c r="H5" s="35"/>
    </row>
    <row r="6" spans="2:10" x14ac:dyDescent="0.3">
      <c r="B6" s="26" t="s">
        <v>243</v>
      </c>
      <c r="C6" s="65">
        <f>'Balance Sheet'!C39</f>
        <v>1265.0223000000001</v>
      </c>
      <c r="D6" s="65">
        <f>'Balance Sheet'!D39</f>
        <v>939.95889999999997</v>
      </c>
      <c r="E6" s="65">
        <f>'Balance Sheet'!E39</f>
        <v>950.24</v>
      </c>
      <c r="F6" s="65">
        <f>'Balance Sheet'!F39</f>
        <v>1227.0899999999999</v>
      </c>
      <c r="G6" s="65">
        <f>'Balance Sheet'!G39</f>
        <v>1663.99</v>
      </c>
      <c r="H6" s="72">
        <f>'Balance Sheet'!H39</f>
        <v>14790.18</v>
      </c>
    </row>
    <row r="7" spans="2:10" x14ac:dyDescent="0.3">
      <c r="B7" s="26" t="s">
        <v>244</v>
      </c>
      <c r="C7" s="65">
        <f>'Balance Sheet'!C40</f>
        <v>8334.5872999999992</v>
      </c>
      <c r="D7" s="65">
        <f>'Balance Sheet'!D40</f>
        <v>8380.4802999999993</v>
      </c>
      <c r="E7" s="65">
        <f>'Balance Sheet'!E40</f>
        <v>9804.07</v>
      </c>
      <c r="F7" s="65">
        <f>'Balance Sheet'!F40</f>
        <v>13616.13</v>
      </c>
      <c r="G7" s="65">
        <f>'Balance Sheet'!G40</f>
        <v>23978.97</v>
      </c>
      <c r="H7" s="72">
        <f>'Balance Sheet'!H40</f>
        <v>32933.129999999997</v>
      </c>
    </row>
    <row r="8" spans="2:10" x14ac:dyDescent="0.3">
      <c r="B8" s="26" t="s">
        <v>245</v>
      </c>
      <c r="C8" s="65">
        <f>'Balance Sheet'!C41</f>
        <v>833.43970000000002</v>
      </c>
      <c r="D8" s="65">
        <f>'Balance Sheet'!D41</f>
        <v>588.39009999999996</v>
      </c>
      <c r="E8" s="65">
        <f>'Balance Sheet'!E41</f>
        <v>365.27</v>
      </c>
      <c r="F8" s="65">
        <f>'Balance Sheet'!F41</f>
        <v>236.91</v>
      </c>
      <c r="G8" s="65">
        <f>'Balance Sheet'!G41</f>
        <v>237.59</v>
      </c>
      <c r="H8" s="72">
        <f>'Balance Sheet'!H41</f>
        <v>374.99</v>
      </c>
    </row>
    <row r="9" spans="2:10" x14ac:dyDescent="0.3">
      <c r="B9" s="31" t="s">
        <v>246</v>
      </c>
      <c r="C9" s="79">
        <f t="shared" ref="C9:H9" si="0">SUM(C6:C8)</f>
        <v>10433.049300000001</v>
      </c>
      <c r="D9" s="79">
        <f t="shared" si="0"/>
        <v>9908.8292999999994</v>
      </c>
      <c r="E9" s="79">
        <f t="shared" si="0"/>
        <v>11119.58</v>
      </c>
      <c r="F9" s="79">
        <f t="shared" si="0"/>
        <v>15080.13</v>
      </c>
      <c r="G9" s="79">
        <f t="shared" si="0"/>
        <v>25880.550000000003</v>
      </c>
      <c r="H9" s="87">
        <f t="shared" si="0"/>
        <v>48098.299999999996</v>
      </c>
    </row>
    <row r="10" spans="2:10" x14ac:dyDescent="0.3">
      <c r="B10" s="26"/>
      <c r="H10" s="35"/>
    </row>
    <row r="11" spans="2:10" x14ac:dyDescent="0.3">
      <c r="B11" s="28" t="s">
        <v>247</v>
      </c>
      <c r="H11" s="35"/>
    </row>
    <row r="12" spans="2:10" x14ac:dyDescent="0.3">
      <c r="B12" s="26" t="s">
        <v>248</v>
      </c>
      <c r="C12" s="76">
        <f t="shared" ref="C12:H14" si="1">IFERROR(C6/C$9,"")</f>
        <v>0.12125144467591081</v>
      </c>
      <c r="D12" s="76">
        <f t="shared" si="1"/>
        <v>9.4860742025296568E-2</v>
      </c>
      <c r="E12" s="76">
        <f t="shared" si="1"/>
        <v>8.5456465082314262E-2</v>
      </c>
      <c r="F12" s="76">
        <f t="shared" si="1"/>
        <v>8.1371314438270753E-2</v>
      </c>
      <c r="G12" s="76">
        <f t="shared" si="1"/>
        <v>6.4295001458624323E-2</v>
      </c>
      <c r="H12" s="82">
        <f t="shared" si="1"/>
        <v>0.30749901763679799</v>
      </c>
    </row>
    <row r="13" spans="2:10" x14ac:dyDescent="0.3">
      <c r="B13" s="26" t="s">
        <v>249</v>
      </c>
      <c r="C13" s="76">
        <f t="shared" si="1"/>
        <v>0.79886398121400604</v>
      </c>
      <c r="D13" s="76">
        <f t="shared" si="1"/>
        <v>0.84575887284686591</v>
      </c>
      <c r="E13" s="76">
        <f t="shared" si="1"/>
        <v>0.8816942726254049</v>
      </c>
      <c r="F13" s="76">
        <f t="shared" si="1"/>
        <v>0.90291860879183405</v>
      </c>
      <c r="G13" s="76">
        <f t="shared" si="1"/>
        <v>0.92652474541692498</v>
      </c>
      <c r="H13" s="82">
        <f t="shared" si="1"/>
        <v>0.68470465692134652</v>
      </c>
    </row>
    <row r="14" spans="2:10" x14ac:dyDescent="0.3">
      <c r="B14" s="26" t="s">
        <v>250</v>
      </c>
      <c r="C14" s="76">
        <f t="shared" si="1"/>
        <v>7.988457411008304E-2</v>
      </c>
      <c r="D14" s="76">
        <f t="shared" si="1"/>
        <v>5.938038512783745E-2</v>
      </c>
      <c r="E14" s="76">
        <f t="shared" si="1"/>
        <v>3.2849262292280822E-2</v>
      </c>
      <c r="F14" s="76">
        <f t="shared" si="1"/>
        <v>1.571007676989522E-2</v>
      </c>
      <c r="G14" s="76">
        <f t="shared" si="1"/>
        <v>9.1802531244506002E-3</v>
      </c>
      <c r="H14" s="82">
        <f t="shared" si="1"/>
        <v>7.7963254418555346E-3</v>
      </c>
    </row>
    <row r="15" spans="2:10" x14ac:dyDescent="0.3">
      <c r="B15" s="26"/>
      <c r="H15" s="35"/>
    </row>
    <row r="16" spans="2:10" x14ac:dyDescent="0.3">
      <c r="B16" s="28" t="s">
        <v>251</v>
      </c>
      <c r="H16" s="35"/>
    </row>
    <row r="17" spans="2:8" x14ac:dyDescent="0.3">
      <c r="B17" s="26" t="s">
        <v>252</v>
      </c>
      <c r="C17" s="65">
        <f>'Profit &amp; Loss'!C17</f>
        <v>1100.454</v>
      </c>
      <c r="D17" s="65">
        <f>'Profit &amp; Loss'!D17</f>
        <v>716.16970000000003</v>
      </c>
      <c r="E17" s="65">
        <f>'Profit &amp; Loss'!E17</f>
        <v>595.28</v>
      </c>
      <c r="F17" s="65">
        <f>'Profit &amp; Loss'!F17</f>
        <v>950.3</v>
      </c>
      <c r="G17" s="65">
        <f>'Profit &amp; Loss'!G17</f>
        <v>1515.09</v>
      </c>
      <c r="H17" s="72">
        <f>'Profit &amp; Loss'!H17</f>
        <v>2766.67</v>
      </c>
    </row>
    <row r="18" spans="2:8" x14ac:dyDescent="0.3">
      <c r="B18" s="26" t="s">
        <v>253</v>
      </c>
      <c r="C18" s="65"/>
      <c r="D18" s="65">
        <f>AVERAGE(C9:D9)</f>
        <v>10170.9393</v>
      </c>
      <c r="E18" s="65">
        <f>AVERAGE(D9:E9)</f>
        <v>10514.20465</v>
      </c>
      <c r="F18" s="65">
        <f>AVERAGE(E9:F9)</f>
        <v>13099.855</v>
      </c>
      <c r="G18" s="65">
        <f>AVERAGE(F9:G9)</f>
        <v>20480.34</v>
      </c>
      <c r="H18" s="72">
        <f>AVERAGE(G9:H9)</f>
        <v>36989.425000000003</v>
      </c>
    </row>
    <row r="19" spans="2:8" x14ac:dyDescent="0.3">
      <c r="B19" s="26" t="s">
        <v>254</v>
      </c>
      <c r="C19" s="67"/>
      <c r="D19" s="67">
        <f>IFERROR(D17/D18*100,"")</f>
        <v>7.0413329474889306</v>
      </c>
      <c r="E19" s="67">
        <f>IFERROR(E17/E18*100,"")</f>
        <v>5.6616740858282615</v>
      </c>
      <c r="F19" s="67">
        <f>IFERROR(F17/F18*100,"")</f>
        <v>7.2542787687344621</v>
      </c>
      <c r="G19" s="67">
        <f>IFERROR(G17/G18*100,"")</f>
        <v>7.3977775759582114</v>
      </c>
      <c r="H19" s="74">
        <f>IFERROR(H17/H18*100,"")</f>
        <v>7.4796242439562111</v>
      </c>
    </row>
    <row r="20" spans="2:8" x14ac:dyDescent="0.3">
      <c r="B20" s="70" t="s">
        <v>255</v>
      </c>
      <c r="C20" s="68"/>
      <c r="D20" s="68"/>
      <c r="E20" s="68"/>
      <c r="F20" s="69">
        <v>8.06</v>
      </c>
      <c r="G20" s="69">
        <v>8.09</v>
      </c>
      <c r="H20" s="75">
        <v>7.73</v>
      </c>
    </row>
  </sheetData>
  <mergeCells count="2">
    <mergeCell ref="B1:H1"/>
    <mergeCell ref="B2:H2"/>
  </mergeCells>
  <hyperlinks>
    <hyperlink ref="J1" location="Home!A1" tooltip="Back to Home / Index" display="⌂ Home" xr:uid="{2AEF09F5-16B5-4ABD-BCDE-251BED7306F6}"/>
  </hyperlinks>
  <pageMargins left="0.25" right="0.25" top="0.75" bottom="0.75" header="0.3" footer="0.3"/>
  <pageSetup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833A0-3C7E-4671-BE2F-7D405118E76E}">
  <sheetPr>
    <tabColor rgb="FFC6E0B4"/>
  </sheetPr>
  <dimension ref="B1:M21"/>
  <sheetViews>
    <sheetView showGridLines="0" topLeftCell="F9" zoomScaleNormal="100" workbookViewId="0">
      <selection activeCell="I15" sqref="I15:M19"/>
    </sheetView>
  </sheetViews>
  <sheetFormatPr defaultRowHeight="14.4" x14ac:dyDescent="0.3"/>
  <cols>
    <col min="1" max="1" width="1.77734375" customWidth="1"/>
    <col min="2" max="2" width="47.44140625" customWidth="1"/>
    <col min="3" max="8" width="13.77734375" customWidth="1"/>
    <col min="9" max="9" width="8.88671875" customWidth="1"/>
    <col min="10" max="10" width="77.77734375" customWidth="1"/>
    <col min="11" max="12" width="8.88671875" customWidth="1"/>
  </cols>
  <sheetData>
    <row r="1" spans="2:13" ht="24" customHeight="1" x14ac:dyDescent="0.3">
      <c r="B1" s="505" t="s">
        <v>471</v>
      </c>
      <c r="C1" s="549"/>
      <c r="D1" s="549"/>
      <c r="E1" s="549"/>
      <c r="F1" s="549"/>
      <c r="G1" s="549"/>
      <c r="H1" s="550"/>
      <c r="I1" s="195"/>
      <c r="J1" s="196"/>
      <c r="L1" s="269" t="s">
        <v>891</v>
      </c>
    </row>
    <row r="2" spans="2:13" x14ac:dyDescent="0.3">
      <c r="B2" s="508" t="s">
        <v>472</v>
      </c>
      <c r="C2" s="551"/>
      <c r="D2" s="551"/>
      <c r="E2" s="551"/>
      <c r="F2" s="551"/>
      <c r="G2" s="551"/>
      <c r="H2" s="552"/>
      <c r="I2" s="198"/>
      <c r="J2" s="199"/>
    </row>
    <row r="3" spans="2:13" x14ac:dyDescent="0.3">
      <c r="B3" s="26"/>
      <c r="H3" s="35"/>
      <c r="J3" s="35"/>
    </row>
    <row r="4" spans="2:13" ht="15" thickBot="1" x14ac:dyDescent="0.35">
      <c r="B4" s="47" t="s">
        <v>3</v>
      </c>
      <c r="C4" s="48" t="s">
        <v>256</v>
      </c>
      <c r="D4" s="48" t="s">
        <v>257</v>
      </c>
      <c r="E4" s="48" t="s">
        <v>258</v>
      </c>
      <c r="F4" s="48" t="s">
        <v>259</v>
      </c>
      <c r="G4" s="48" t="s">
        <v>260</v>
      </c>
      <c r="H4" s="64" t="s">
        <v>261</v>
      </c>
      <c r="I4" s="96"/>
      <c r="J4" s="97" t="s">
        <v>406</v>
      </c>
    </row>
    <row r="5" spans="2:13" x14ac:dyDescent="0.3">
      <c r="B5" s="26"/>
      <c r="H5" s="35"/>
      <c r="J5" s="93"/>
    </row>
    <row r="6" spans="2:13" ht="55.05" customHeight="1" x14ac:dyDescent="0.3">
      <c r="B6" s="26" t="s">
        <v>232</v>
      </c>
      <c r="C6" s="257">
        <v>1.44E-2</v>
      </c>
      <c r="D6" s="255">
        <v>1.35E-2</v>
      </c>
      <c r="E6" s="255">
        <v>1.2999999999999999E-2</v>
      </c>
      <c r="F6" s="255">
        <v>1.2500000000000001E-2</v>
      </c>
      <c r="G6" s="255">
        <v>1.2E-2</v>
      </c>
      <c r="H6" s="256">
        <v>1.15E-2</v>
      </c>
      <c r="J6" s="94" t="s">
        <v>473</v>
      </c>
    </row>
    <row r="7" spans="2:13" ht="55.05" customHeight="1" x14ac:dyDescent="0.3">
      <c r="B7" s="26" t="s">
        <v>233</v>
      </c>
      <c r="C7" s="257">
        <v>7.4000000000000003E-3</v>
      </c>
      <c r="D7" s="255">
        <v>6.7999999999999996E-3</v>
      </c>
      <c r="E7" s="255">
        <v>6.3E-3</v>
      </c>
      <c r="F7" s="255">
        <v>6.0000000000000001E-3</v>
      </c>
      <c r="G7" s="255">
        <v>5.7000000000000002E-3</v>
      </c>
      <c r="H7" s="256">
        <v>5.4999999999999997E-3</v>
      </c>
      <c r="J7" s="94" t="s">
        <v>474</v>
      </c>
    </row>
    <row r="8" spans="2:13" ht="55.05" customHeight="1" x14ac:dyDescent="0.3">
      <c r="B8" s="26" t="s">
        <v>475</v>
      </c>
      <c r="C8" s="89">
        <f t="shared" ref="C8:H8" si="0">IFERROR(1-C7/C6,"")</f>
        <v>0.48611111111111105</v>
      </c>
      <c r="D8" s="89">
        <f t="shared" si="0"/>
        <v>0.49629629629629635</v>
      </c>
      <c r="E8" s="89">
        <f t="shared" si="0"/>
        <v>0.51538461538461533</v>
      </c>
      <c r="F8" s="89">
        <f t="shared" si="0"/>
        <v>0.52</v>
      </c>
      <c r="G8" s="89">
        <f t="shared" si="0"/>
        <v>0.52499999999999991</v>
      </c>
      <c r="H8" s="258">
        <f t="shared" si="0"/>
        <v>0.52173913043478271</v>
      </c>
      <c r="J8" s="94" t="s">
        <v>476</v>
      </c>
    </row>
    <row r="9" spans="2:13" ht="45" customHeight="1" x14ac:dyDescent="0.3">
      <c r="B9" s="26" t="s">
        <v>477</v>
      </c>
      <c r="D9" s="65">
        <f>'Revenue Forecast'!D6</f>
        <v>71163.979249999989</v>
      </c>
      <c r="E9" s="65">
        <f>'Revenue Forecast'!E6</f>
        <v>104243.08651249998</v>
      </c>
      <c r="F9" s="65">
        <f>'Revenue Forecast'!F6</f>
        <v>142437.50623312499</v>
      </c>
      <c r="G9" s="65">
        <f>'Revenue Forecast'!G6</f>
        <v>185313.25405153126</v>
      </c>
      <c r="H9" s="72">
        <f>'Revenue Forecast'!H6</f>
        <v>233151.49013349536</v>
      </c>
      <c r="J9" s="93"/>
    </row>
    <row r="10" spans="2:13" ht="55.05" customHeight="1" x14ac:dyDescent="0.3">
      <c r="B10" s="26" t="s">
        <v>532</v>
      </c>
      <c r="D10" s="255">
        <f>0.022+'Scenario Analysis'!$C$19</f>
        <v>2.1999999999999999E-2</v>
      </c>
      <c r="E10" s="255">
        <f>0.019+'Scenario Analysis'!$C$19</f>
        <v>1.9E-2</v>
      </c>
      <c r="F10" s="255">
        <f>0.017+'Scenario Analysis'!$C$19</f>
        <v>1.7000000000000001E-2</v>
      </c>
      <c r="G10" s="255">
        <f>0.016+'Scenario Analysis'!$C$19</f>
        <v>1.6E-2</v>
      </c>
      <c r="H10" s="256">
        <f>0.015+'Scenario Analysis'!$C$19</f>
        <v>1.4999999999999999E-2</v>
      </c>
      <c r="J10" s="94" t="s">
        <v>478</v>
      </c>
    </row>
    <row r="11" spans="2:13" ht="36.6" customHeight="1" x14ac:dyDescent="0.3">
      <c r="B11" s="26"/>
      <c r="D11" s="255"/>
      <c r="E11" s="255"/>
      <c r="F11" s="255"/>
      <c r="G11" s="255"/>
      <c r="H11" s="256"/>
      <c r="J11" s="94"/>
    </row>
    <row r="12" spans="2:13" x14ac:dyDescent="0.3">
      <c r="B12" s="213" t="s">
        <v>265</v>
      </c>
      <c r="C12" s="216">
        <f>'Profit &amp; Loss'!H20</f>
        <v>1104.1300000000001</v>
      </c>
      <c r="D12" s="217">
        <f>D9*D10</f>
        <v>1565.6075434999996</v>
      </c>
      <c r="E12" s="217">
        <f>E9*E10</f>
        <v>1980.6186437374997</v>
      </c>
      <c r="F12" s="217">
        <f>F9*F10</f>
        <v>2421.437605963125</v>
      </c>
      <c r="G12" s="217">
        <f>G9*G10</f>
        <v>2965.0120648245002</v>
      </c>
      <c r="H12" s="259">
        <f>H9*H10</f>
        <v>3497.2723520024301</v>
      </c>
      <c r="I12" s="24"/>
      <c r="J12" s="103"/>
    </row>
    <row r="15" spans="2:13" x14ac:dyDescent="0.3">
      <c r="B15" s="436" t="s">
        <v>1304</v>
      </c>
      <c r="C15" s="437"/>
      <c r="D15" s="437"/>
      <c r="E15" s="437"/>
      <c r="F15" s="437"/>
      <c r="G15" s="437"/>
      <c r="H15" s="438"/>
      <c r="I15" s="725"/>
      <c r="J15" s="725"/>
      <c r="K15" s="725"/>
      <c r="L15" s="725"/>
      <c r="M15" s="726"/>
    </row>
    <row r="16" spans="2:13" ht="66" customHeight="1" x14ac:dyDescent="0.3">
      <c r="B16" s="592" t="s">
        <v>1305</v>
      </c>
      <c r="C16" s="588"/>
      <c r="D16" s="588"/>
      <c r="E16" s="588"/>
      <c r="F16" s="588"/>
      <c r="G16" s="588"/>
      <c r="H16" s="593"/>
      <c r="I16" s="726"/>
      <c r="J16" s="726"/>
      <c r="K16" s="726"/>
      <c r="L16" s="726"/>
      <c r="M16" s="726"/>
    </row>
    <row r="17" spans="2:13" ht="68.400000000000006" customHeight="1" x14ac:dyDescent="0.3">
      <c r="B17" s="592" t="s">
        <v>1306</v>
      </c>
      <c r="C17" s="588"/>
      <c r="D17" s="588"/>
      <c r="E17" s="588"/>
      <c r="F17" s="588"/>
      <c r="G17" s="588"/>
      <c r="H17" s="593"/>
      <c r="I17" s="726"/>
      <c r="J17" s="726"/>
      <c r="K17" s="726"/>
      <c r="L17" s="726"/>
      <c r="M17" s="726"/>
    </row>
    <row r="18" spans="2:13" x14ac:dyDescent="0.3">
      <c r="B18" s="343"/>
      <c r="H18" s="356"/>
      <c r="I18" s="726"/>
      <c r="J18" s="726"/>
      <c r="K18" s="726"/>
      <c r="L18" s="726"/>
      <c r="M18" s="726"/>
    </row>
    <row r="19" spans="2:13" x14ac:dyDescent="0.3">
      <c r="B19" s="433" t="s">
        <v>1320</v>
      </c>
      <c r="C19" s="306"/>
      <c r="D19" s="306"/>
      <c r="E19" s="306"/>
      <c r="F19" s="306"/>
      <c r="G19" s="306"/>
      <c r="H19" s="434"/>
      <c r="I19" s="725"/>
      <c r="J19" s="725"/>
      <c r="K19" s="725"/>
      <c r="L19" s="725"/>
      <c r="M19" s="726"/>
    </row>
    <row r="20" spans="2:13" ht="92.4" customHeight="1" x14ac:dyDescent="0.3">
      <c r="B20" s="594" t="s">
        <v>1321</v>
      </c>
      <c r="C20" s="595"/>
      <c r="D20" s="595"/>
      <c r="E20" s="595"/>
      <c r="F20" s="595"/>
      <c r="G20" s="595"/>
      <c r="H20" s="596"/>
    </row>
    <row r="21" spans="2:13" ht="49.8" customHeight="1" x14ac:dyDescent="0.3">
      <c r="B21" s="589" t="s">
        <v>1322</v>
      </c>
      <c r="C21" s="590"/>
      <c r="D21" s="590"/>
      <c r="E21" s="590"/>
      <c r="F21" s="590"/>
      <c r="G21" s="590"/>
      <c r="H21" s="591"/>
    </row>
  </sheetData>
  <mergeCells count="6">
    <mergeCell ref="B21:H21"/>
    <mergeCell ref="B1:H1"/>
    <mergeCell ref="B2:H2"/>
    <mergeCell ref="B16:H16"/>
    <mergeCell ref="B17:H17"/>
    <mergeCell ref="B20:H20"/>
  </mergeCells>
  <hyperlinks>
    <hyperlink ref="L1" location="Home!A1" tooltip="Back to Home / Index" display="⌂ Home" xr:uid="{288DAA07-6316-49DD-88D0-2B0BB7D434A0}"/>
  </hyperlinks>
  <pageMargins left="0.25" right="0.25" top="0.75" bottom="0.75" header="0.3" footer="0.3"/>
  <pageSetup orientation="landscape" r:id="rId1"/>
  <rowBreaks count="1" manualBreakCount="1">
    <brk id="14" max="16383" man="1"/>
  </row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0B579-93B9-4AAB-BA34-28CB458FFE48}">
  <sheetPr>
    <tabColor rgb="FFC6E0B4"/>
  </sheetPr>
  <dimension ref="B1:L56"/>
  <sheetViews>
    <sheetView showGridLines="0" topLeftCell="B1" zoomScaleNormal="100" workbookViewId="0">
      <selection activeCell="H3" sqref="H1:M1048576"/>
    </sheetView>
  </sheetViews>
  <sheetFormatPr defaultRowHeight="14.4" x14ac:dyDescent="0.3"/>
  <cols>
    <col min="1" max="1" width="1.77734375" customWidth="1"/>
    <col min="2" max="2" width="50.109375" customWidth="1"/>
    <col min="3" max="8" width="13.109375" customWidth="1"/>
    <col min="9" max="9" width="8.88671875" customWidth="1"/>
    <col min="10" max="10" width="77.77734375" customWidth="1"/>
    <col min="11" max="12" width="8.88671875" customWidth="1"/>
  </cols>
  <sheetData>
    <row r="1" spans="2:12" ht="24" customHeight="1" x14ac:dyDescent="0.3">
      <c r="B1" s="505" t="s">
        <v>479</v>
      </c>
      <c r="C1" s="549"/>
      <c r="D1" s="549"/>
      <c r="E1" s="549"/>
      <c r="F1" s="549"/>
      <c r="G1" s="549"/>
      <c r="H1" s="550"/>
      <c r="I1" s="195"/>
      <c r="J1" s="196"/>
      <c r="L1" s="269" t="s">
        <v>891</v>
      </c>
    </row>
    <row r="2" spans="2:12" ht="36" customHeight="1" x14ac:dyDescent="0.3">
      <c r="B2" s="508" t="s">
        <v>480</v>
      </c>
      <c r="C2" s="551"/>
      <c r="D2" s="551"/>
      <c r="E2" s="551"/>
      <c r="F2" s="551"/>
      <c r="G2" s="551"/>
      <c r="H2" s="552"/>
      <c r="I2" s="198"/>
      <c r="J2" s="199"/>
    </row>
    <row r="3" spans="2:12" x14ac:dyDescent="0.3">
      <c r="B3" s="26"/>
      <c r="H3" s="35"/>
      <c r="J3" s="35"/>
    </row>
    <row r="4" spans="2:12" ht="15" thickBot="1" x14ac:dyDescent="0.35">
      <c r="B4" s="47" t="s">
        <v>3</v>
      </c>
      <c r="C4" s="48" t="s">
        <v>256</v>
      </c>
      <c r="D4" s="48" t="s">
        <v>257</v>
      </c>
      <c r="E4" s="48" t="s">
        <v>258</v>
      </c>
      <c r="F4" s="48" t="s">
        <v>259</v>
      </c>
      <c r="G4" s="48" t="s">
        <v>260</v>
      </c>
      <c r="H4" s="64" t="s">
        <v>261</v>
      </c>
      <c r="I4" s="96"/>
      <c r="J4" s="97" t="s">
        <v>406</v>
      </c>
    </row>
    <row r="5" spans="2:12" x14ac:dyDescent="0.3">
      <c r="B5" s="26"/>
      <c r="H5" s="35"/>
      <c r="J5" s="93"/>
    </row>
    <row r="6" spans="2:12" x14ac:dyDescent="0.3">
      <c r="B6" s="28" t="s">
        <v>481</v>
      </c>
      <c r="C6" s="4"/>
      <c r="D6" s="4"/>
      <c r="E6" s="4"/>
      <c r="F6" s="4"/>
      <c r="G6" s="4"/>
      <c r="H6" s="81"/>
      <c r="J6" s="93"/>
    </row>
    <row r="7" spans="2:12" x14ac:dyDescent="0.3">
      <c r="B7" s="26" t="s">
        <v>482</v>
      </c>
      <c r="C7" s="326">
        <f>'Business Drivers'!C29</f>
        <v>5860</v>
      </c>
      <c r="D7" s="326">
        <f>'Business Drivers'!D29</f>
        <v>7475</v>
      </c>
      <c r="E7" s="326">
        <f>'Business Drivers'!E29</f>
        <v>8736</v>
      </c>
      <c r="F7" s="326">
        <f>'Business Drivers'!F29</f>
        <v>9680</v>
      </c>
      <c r="G7" s="326">
        <f>'Business Drivers'!G29</f>
        <v>10476</v>
      </c>
      <c r="H7" s="260">
        <f>'Business Drivers'!H29</f>
        <v>11130</v>
      </c>
      <c r="J7" s="93"/>
    </row>
    <row r="8" spans="2:12" ht="24" x14ac:dyDescent="0.3">
      <c r="B8" s="26" t="s">
        <v>483</v>
      </c>
      <c r="C8" s="261">
        <f>'Profit &amp; Loss'!H21/C7*100</f>
        <v>17.364163822525597</v>
      </c>
      <c r="D8" s="101">
        <f>C8*(1+Assumptions!D15)</f>
        <v>18.753296928327646</v>
      </c>
      <c r="E8" s="101">
        <f>D8*(1+Assumptions!E15)</f>
        <v>20.253560682593861</v>
      </c>
      <c r="F8" s="101">
        <f>E8*(1+Assumptions!F15)</f>
        <v>21.873845537201372</v>
      </c>
      <c r="G8" s="101">
        <f>F8*(1+Assumptions!G15)</f>
        <v>23.514383952491475</v>
      </c>
      <c r="H8" s="246">
        <f>G8*(1+Assumptions!H15)</f>
        <v>25.277962748928335</v>
      </c>
      <c r="J8" s="94" t="s">
        <v>484</v>
      </c>
    </row>
    <row r="9" spans="2:12" x14ac:dyDescent="0.3">
      <c r="B9" s="31" t="s">
        <v>485</v>
      </c>
      <c r="C9" s="240">
        <f>'Profit &amp; Loss'!H21</f>
        <v>1017.54</v>
      </c>
      <c r="D9" s="79">
        <f>D7*D8/100</f>
        <v>1401.8089453924915</v>
      </c>
      <c r="E9" s="79">
        <f>E7*E8/100</f>
        <v>1769.3510612313996</v>
      </c>
      <c r="F9" s="79">
        <f>F7*F8/100</f>
        <v>2117.388248001093</v>
      </c>
      <c r="G9" s="79">
        <f>G7*G8/100</f>
        <v>2463.3668628630066</v>
      </c>
      <c r="H9" s="87">
        <f>H7*H8/100</f>
        <v>2813.4372539557239</v>
      </c>
      <c r="J9" s="93"/>
    </row>
    <row r="10" spans="2:12" x14ac:dyDescent="0.3">
      <c r="B10" s="26"/>
      <c r="H10" s="35"/>
      <c r="J10" s="93"/>
    </row>
    <row r="11" spans="2:12" x14ac:dyDescent="0.3">
      <c r="B11" s="28" t="s">
        <v>486</v>
      </c>
      <c r="C11" s="4"/>
      <c r="D11" s="4"/>
      <c r="E11" s="4"/>
      <c r="F11" s="4"/>
      <c r="G11" s="4"/>
      <c r="H11" s="81"/>
      <c r="J11" s="93"/>
    </row>
    <row r="12" spans="2:12" x14ac:dyDescent="0.3">
      <c r="B12" s="26" t="s">
        <v>487</v>
      </c>
      <c r="C12" s="326">
        <f>'Business Drivers'!C27</f>
        <v>500</v>
      </c>
      <c r="D12" s="326">
        <f>'Business Drivers'!D27</f>
        <v>650</v>
      </c>
      <c r="E12" s="326">
        <f>'Business Drivers'!E27</f>
        <v>780</v>
      </c>
      <c r="F12" s="326">
        <f>'Business Drivers'!F27</f>
        <v>880</v>
      </c>
      <c r="G12" s="326">
        <f>'Business Drivers'!G27</f>
        <v>970</v>
      </c>
      <c r="H12" s="260">
        <f>'Business Drivers'!H27</f>
        <v>1050</v>
      </c>
      <c r="J12" s="93"/>
    </row>
    <row r="13" spans="2:12" ht="24" x14ac:dyDescent="0.3">
      <c r="B13" s="26" t="s">
        <v>488</v>
      </c>
      <c r="C13" s="327">
        <v>68.86</v>
      </c>
      <c r="D13" s="207">
        <v>6</v>
      </c>
      <c r="E13" s="207">
        <v>6</v>
      </c>
      <c r="F13" s="207">
        <v>6</v>
      </c>
      <c r="G13" s="207">
        <v>5</v>
      </c>
      <c r="H13" s="262">
        <v>5</v>
      </c>
      <c r="J13" s="94" t="s">
        <v>489</v>
      </c>
    </row>
    <row r="14" spans="2:12" x14ac:dyDescent="0.3">
      <c r="B14" s="26" t="s">
        <v>490</v>
      </c>
      <c r="D14" s="101">
        <f>C13*(1+D13/100)</f>
        <v>72.991600000000005</v>
      </c>
      <c r="E14" s="101">
        <f>D14*(1+E13/100)</f>
        <v>77.371096000000009</v>
      </c>
      <c r="F14" s="101">
        <f>E14*(1+F13/100)</f>
        <v>82.013361760000009</v>
      </c>
      <c r="G14" s="101">
        <f>F14*(1+G13/100)</f>
        <v>86.114029848000015</v>
      </c>
      <c r="H14" s="246">
        <f>G14*(1+H13/100)</f>
        <v>90.41973134040002</v>
      </c>
      <c r="J14" s="93"/>
    </row>
    <row r="15" spans="2:12" x14ac:dyDescent="0.3">
      <c r="B15" s="31" t="s">
        <v>491</v>
      </c>
      <c r="C15" s="328">
        <v>344.32</v>
      </c>
      <c r="D15" s="79">
        <f>D12*D14/100</f>
        <v>474.44540000000001</v>
      </c>
      <c r="E15" s="79">
        <f>E12*E14/100</f>
        <v>603.49454880000008</v>
      </c>
      <c r="F15" s="79">
        <f>F12*F14/100</f>
        <v>721.71758348800006</v>
      </c>
      <c r="G15" s="79">
        <f>G12*G14/100</f>
        <v>835.3060895256001</v>
      </c>
      <c r="H15" s="87">
        <f>H12*H14/100</f>
        <v>949.40717907420026</v>
      </c>
      <c r="J15" s="93"/>
    </row>
    <row r="16" spans="2:12" x14ac:dyDescent="0.3">
      <c r="B16" s="26"/>
      <c r="H16" s="35"/>
      <c r="J16" s="93"/>
    </row>
    <row r="17" spans="2:10" x14ac:dyDescent="0.3">
      <c r="B17" s="28" t="s">
        <v>492</v>
      </c>
      <c r="C17" s="4"/>
      <c r="D17" s="4"/>
      <c r="E17" s="4"/>
      <c r="F17" s="4"/>
      <c r="G17" s="4"/>
      <c r="H17" s="81"/>
      <c r="J17" s="93"/>
    </row>
    <row r="18" spans="2:10" ht="24" x14ac:dyDescent="0.3">
      <c r="B18" s="26" t="s">
        <v>493</v>
      </c>
      <c r="D18" s="255">
        <v>0.15</v>
      </c>
      <c r="E18" s="255">
        <v>0.13</v>
      </c>
      <c r="F18" s="255">
        <v>0.12</v>
      </c>
      <c r="G18" s="255">
        <v>0.1</v>
      </c>
      <c r="H18" s="256">
        <v>0.1</v>
      </c>
      <c r="J18" s="94" t="s">
        <v>494</v>
      </c>
    </row>
    <row r="19" spans="2:10" x14ac:dyDescent="0.3">
      <c r="B19" s="31" t="s">
        <v>495</v>
      </c>
      <c r="C19" s="328">
        <v>245.94</v>
      </c>
      <c r="D19" s="79">
        <f>C19*(1+D18)</f>
        <v>282.83099999999996</v>
      </c>
      <c r="E19" s="79">
        <f>D19*(1+E18)</f>
        <v>319.59902999999991</v>
      </c>
      <c r="F19" s="79">
        <f>E19*(1+F18)</f>
        <v>357.95091359999992</v>
      </c>
      <c r="G19" s="79">
        <f>F19*(1+G18)</f>
        <v>393.74600495999994</v>
      </c>
      <c r="H19" s="87">
        <f>G19*(1+H18)</f>
        <v>433.12060545599996</v>
      </c>
      <c r="J19" s="93"/>
    </row>
    <row r="20" spans="2:10" x14ac:dyDescent="0.3">
      <c r="B20" s="26"/>
      <c r="H20" s="35"/>
      <c r="J20" s="93"/>
    </row>
    <row r="21" spans="2:10" x14ac:dyDescent="0.3">
      <c r="B21" s="28" t="s">
        <v>496</v>
      </c>
      <c r="C21" s="4"/>
      <c r="D21" s="4"/>
      <c r="E21" s="4"/>
      <c r="F21" s="4"/>
      <c r="G21" s="4"/>
      <c r="H21" s="81"/>
      <c r="J21" s="93"/>
    </row>
    <row r="22" spans="2:10" x14ac:dyDescent="0.3">
      <c r="B22" s="26" t="s">
        <v>497</v>
      </c>
      <c r="E22" s="89">
        <f>IFERROR('Business Drivers'!E14/'Business Drivers'!D14-1,"")</f>
        <v>0.31908894576867719</v>
      </c>
      <c r="F22" s="89">
        <f>IFERROR('Business Drivers'!F14/'Business Drivers'!E14-1,"")</f>
        <v>0.26421587205336161</v>
      </c>
      <c r="G22" s="89">
        <f>IFERROR('Business Drivers'!G14/'Business Drivers'!F14-1,"")</f>
        <v>0.2238740197136484</v>
      </c>
      <c r="H22" s="258">
        <f>IFERROR('Business Drivers'!H14/'Business Drivers'!G14-1,"")</f>
        <v>0.20838201614187235</v>
      </c>
      <c r="J22" s="93"/>
    </row>
    <row r="23" spans="2:10" ht="36" x14ac:dyDescent="0.3">
      <c r="B23" s="31" t="s">
        <v>498</v>
      </c>
      <c r="C23" s="328">
        <v>196.75</v>
      </c>
      <c r="D23" s="79">
        <f>C23*1.32</f>
        <v>259.71000000000004</v>
      </c>
      <c r="E23" s="79">
        <f>D23*(1+E22)</f>
        <v>342.58059010558321</v>
      </c>
      <c r="F23" s="79">
        <f>E23*(1+F22)</f>
        <v>433.09581946888511</v>
      </c>
      <c r="G23" s="79">
        <f>F23*(1+G22)</f>
        <v>530.05472149456102</v>
      </c>
      <c r="H23" s="87">
        <f>G23*(1+H22)</f>
        <v>640.50859302511628</v>
      </c>
      <c r="J23" s="94" t="s">
        <v>499</v>
      </c>
    </row>
    <row r="24" spans="2:10" x14ac:dyDescent="0.3">
      <c r="B24" s="26"/>
      <c r="H24" s="35"/>
      <c r="J24" s="93"/>
    </row>
    <row r="25" spans="2:10" x14ac:dyDescent="0.3">
      <c r="B25" s="28" t="s">
        <v>500</v>
      </c>
      <c r="C25" s="4"/>
      <c r="D25" s="4"/>
      <c r="E25" s="4"/>
      <c r="F25" s="4"/>
      <c r="G25" s="4"/>
      <c r="H25" s="81"/>
      <c r="J25" s="93"/>
    </row>
    <row r="26" spans="2:10" x14ac:dyDescent="0.3">
      <c r="B26" s="26" t="s">
        <v>501</v>
      </c>
      <c r="D26" s="89">
        <f>'Business Drivers'!D22</f>
        <v>0.54377423192840779</v>
      </c>
      <c r="E26" s="89">
        <f>'Business Drivers'!E22</f>
        <v>0.41369179182175064</v>
      </c>
      <c r="F26" s="89">
        <f>'Business Drivers'!F22</f>
        <v>0.33294326257194773</v>
      </c>
      <c r="G26" s="89">
        <f>'Business Drivers'!G22</f>
        <v>0.2770608355733879</v>
      </c>
      <c r="H26" s="258">
        <f>'Business Drivers'!H22</f>
        <v>0.24333824640669111</v>
      </c>
      <c r="J26" s="93"/>
    </row>
    <row r="27" spans="2:10" ht="36" x14ac:dyDescent="0.3">
      <c r="B27" s="31" t="s">
        <v>502</v>
      </c>
      <c r="C27" s="328">
        <v>118.05</v>
      </c>
      <c r="D27" s="79">
        <f>C27*(1+D26*0.6)</f>
        <v>156.56552884748913</v>
      </c>
      <c r="E27" s="79">
        <f>D27*(1+E26*0.6)</f>
        <v>195.42745334735179</v>
      </c>
      <c r="F27" s="79">
        <f>E27*(1+F26*0.6)</f>
        <v>234.46720569550845</v>
      </c>
      <c r="G27" s="79">
        <f>F27*(1+G26*0.6)</f>
        <v>273.44421365024147</v>
      </c>
      <c r="H27" s="87">
        <f>G27*(1+H26*0.6)</f>
        <v>313.36787491406523</v>
      </c>
      <c r="J27" s="94" t="s">
        <v>503</v>
      </c>
    </row>
    <row r="28" spans="2:10" x14ac:dyDescent="0.3">
      <c r="B28" s="26"/>
      <c r="H28" s="35"/>
      <c r="J28" s="93"/>
    </row>
    <row r="29" spans="2:10" x14ac:dyDescent="0.3">
      <c r="B29" s="28" t="s">
        <v>504</v>
      </c>
      <c r="C29" s="4"/>
      <c r="D29" s="4"/>
      <c r="E29" s="4"/>
      <c r="F29" s="4"/>
      <c r="G29" s="4"/>
      <c r="H29" s="81"/>
      <c r="J29" s="93"/>
    </row>
    <row r="30" spans="2:10" x14ac:dyDescent="0.3">
      <c r="B30" s="26" t="s">
        <v>505</v>
      </c>
      <c r="D30" s="89">
        <f>Assumptions!D8</f>
        <v>3.5000000000000003E-2</v>
      </c>
      <c r="E30" s="89">
        <f>Assumptions!E8</f>
        <v>0.04</v>
      </c>
      <c r="F30" s="89">
        <f>Assumptions!F8</f>
        <v>0.04</v>
      </c>
      <c r="G30" s="89">
        <f>Assumptions!G8</f>
        <v>0.04</v>
      </c>
      <c r="H30" s="258">
        <f>Assumptions!H8</f>
        <v>0.04</v>
      </c>
      <c r="J30" s="93"/>
    </row>
    <row r="31" spans="2:10" x14ac:dyDescent="0.3">
      <c r="B31" s="31" t="s">
        <v>506</v>
      </c>
      <c r="C31" s="328">
        <v>78.7</v>
      </c>
      <c r="D31" s="79">
        <f>C31*(1+D30)</f>
        <v>81.454499999999996</v>
      </c>
      <c r="E31" s="79">
        <f>D31*(1+E30)</f>
        <v>84.712679999999992</v>
      </c>
      <c r="F31" s="79">
        <f>E31*(1+F30)</f>
        <v>88.101187199999998</v>
      </c>
      <c r="G31" s="79">
        <f>F31*(1+G30)</f>
        <v>91.625234688000006</v>
      </c>
      <c r="H31" s="87">
        <f>G31*(1+H30)</f>
        <v>95.290244075520008</v>
      </c>
      <c r="J31" s="93"/>
    </row>
    <row r="32" spans="2:10" x14ac:dyDescent="0.3">
      <c r="B32" s="26"/>
      <c r="H32" s="35"/>
      <c r="J32" s="93"/>
    </row>
    <row r="33" spans="2:12" x14ac:dyDescent="0.3">
      <c r="B33" s="28" t="s">
        <v>560</v>
      </c>
      <c r="C33" s="13">
        <f t="shared" ref="C33:H33" si="0">C9+C15+C19+C23+C27+C31</f>
        <v>2001.3</v>
      </c>
      <c r="D33" s="13">
        <f t="shared" si="0"/>
        <v>2656.8153742399804</v>
      </c>
      <c r="E33" s="13">
        <f t="shared" si="0"/>
        <v>3315.1653634843346</v>
      </c>
      <c r="F33" s="13">
        <f t="shared" si="0"/>
        <v>3952.7209574534863</v>
      </c>
      <c r="G33" s="13">
        <f t="shared" si="0"/>
        <v>4587.5431271814095</v>
      </c>
      <c r="H33" s="36">
        <f t="shared" si="0"/>
        <v>5245.1317505006255</v>
      </c>
      <c r="J33" s="93"/>
    </row>
    <row r="34" spans="2:12" x14ac:dyDescent="0.3">
      <c r="B34" s="34" t="s">
        <v>561</v>
      </c>
      <c r="C34" s="108">
        <f>'Profit &amp; Loss'!H21+'Profit &amp; Loss'!H23</f>
        <v>2001.31</v>
      </c>
      <c r="D34" s="24"/>
      <c r="E34" s="24"/>
      <c r="F34" s="24"/>
      <c r="G34" s="24"/>
      <c r="H34" s="109"/>
      <c r="I34" s="24"/>
      <c r="J34" s="103"/>
    </row>
    <row r="35" spans="2:12" x14ac:dyDescent="0.3">
      <c r="B35" s="26"/>
      <c r="H35" s="35"/>
    </row>
    <row r="36" spans="2:12" x14ac:dyDescent="0.3">
      <c r="B36" s="28" t="s">
        <v>1350</v>
      </c>
      <c r="C36" s="1"/>
      <c r="D36" s="1"/>
      <c r="E36" s="1"/>
      <c r="F36" s="1"/>
      <c r="G36" s="1"/>
      <c r="H36" s="208"/>
      <c r="I36" s="1"/>
      <c r="J36" s="1"/>
      <c r="K36" s="1"/>
      <c r="L36" s="1"/>
    </row>
    <row r="37" spans="2:12" x14ac:dyDescent="0.3">
      <c r="B37" s="329" t="s">
        <v>1351</v>
      </c>
      <c r="C37" s="307" t="s">
        <v>1352</v>
      </c>
      <c r="D37" s="307" t="s">
        <v>1353</v>
      </c>
      <c r="E37" s="307" t="s">
        <v>1354</v>
      </c>
      <c r="H37" s="35"/>
    </row>
    <row r="38" spans="2:12" x14ac:dyDescent="0.3">
      <c r="B38" s="330" t="s">
        <v>1355</v>
      </c>
      <c r="C38" s="315">
        <f>C9</f>
        <v>1017.54</v>
      </c>
      <c r="D38" s="315">
        <f>D9</f>
        <v>1401.8089453924915</v>
      </c>
      <c r="E38" s="316">
        <f t="shared" ref="E38:E43" si="1">IFERROR(D38/C38-1,"")</f>
        <v>0.37764505119453928</v>
      </c>
      <c r="H38" s="35"/>
    </row>
    <row r="39" spans="2:12" x14ac:dyDescent="0.3">
      <c r="B39" s="330" t="s">
        <v>1356</v>
      </c>
      <c r="C39" s="315">
        <f>C15</f>
        <v>344.32</v>
      </c>
      <c r="D39" s="315">
        <f>D15</f>
        <v>474.44540000000001</v>
      </c>
      <c r="E39" s="316">
        <f t="shared" si="1"/>
        <v>0.37791995817843871</v>
      </c>
      <c r="H39" s="35"/>
    </row>
    <row r="40" spans="2:12" x14ac:dyDescent="0.3">
      <c r="B40" s="330" t="s">
        <v>1357</v>
      </c>
      <c r="C40" s="315">
        <f>C19</f>
        <v>245.94</v>
      </c>
      <c r="D40" s="315">
        <f>D19</f>
        <v>282.83099999999996</v>
      </c>
      <c r="E40" s="316">
        <f t="shared" si="1"/>
        <v>0.14999999999999991</v>
      </c>
      <c r="H40" s="35"/>
    </row>
    <row r="41" spans="2:12" x14ac:dyDescent="0.3">
      <c r="B41" s="330" t="s">
        <v>1358</v>
      </c>
      <c r="C41" s="315">
        <f>C23</f>
        <v>196.75</v>
      </c>
      <c r="D41" s="315">
        <f>D23</f>
        <v>259.71000000000004</v>
      </c>
      <c r="E41" s="316">
        <f t="shared" si="1"/>
        <v>0.32000000000000028</v>
      </c>
      <c r="H41" s="35"/>
    </row>
    <row r="42" spans="2:12" x14ac:dyDescent="0.3">
      <c r="B42" s="330" t="s">
        <v>1359</v>
      </c>
      <c r="C42" s="315">
        <f>C27</f>
        <v>118.05</v>
      </c>
      <c r="D42" s="315">
        <f>D27</f>
        <v>156.56552884748913</v>
      </c>
      <c r="E42" s="316">
        <f t="shared" si="1"/>
        <v>0.3262645391570449</v>
      </c>
      <c r="H42" s="35"/>
    </row>
    <row r="43" spans="2:12" x14ac:dyDescent="0.3">
      <c r="B43" s="330" t="s">
        <v>1360</v>
      </c>
      <c r="C43" s="315">
        <f>C31</f>
        <v>78.7</v>
      </c>
      <c r="D43" s="315">
        <f>D31</f>
        <v>81.454499999999996</v>
      </c>
      <c r="E43" s="316">
        <f t="shared" si="1"/>
        <v>3.499999999999992E-2</v>
      </c>
      <c r="H43" s="35"/>
    </row>
    <row r="44" spans="2:12" x14ac:dyDescent="0.3">
      <c r="B44" s="331"/>
      <c r="C44" s="20"/>
      <c r="D44" s="20"/>
      <c r="E44" s="20"/>
      <c r="H44" s="35"/>
    </row>
    <row r="45" spans="2:12" x14ac:dyDescent="0.3">
      <c r="B45" s="332" t="s">
        <v>1361</v>
      </c>
      <c r="C45" s="333" t="str">
        <f>INDEX($B$38:$B$43,MATCH(MAX($E$38:$E$43),$E$38:$E$43,0))</f>
        <v>Branch Cost</v>
      </c>
      <c r="D45" s="334"/>
      <c r="E45" s="335">
        <f>MAX($E$38:$E$43)</f>
        <v>0.37791995817843871</v>
      </c>
      <c r="H45" s="35"/>
    </row>
    <row r="46" spans="2:12" x14ac:dyDescent="0.3">
      <c r="B46" s="332" t="s">
        <v>1362</v>
      </c>
      <c r="C46" s="333" t="str">
        <f>INDEX($B$38:$B$43,MATCH(LARGE($E$38:$E$43,2),$E$38:$E$43,0))</f>
        <v>Employee Cost</v>
      </c>
      <c r="D46" s="334"/>
      <c r="E46" s="335">
        <f>LARGE($E$38:$E$43,2)</f>
        <v>0.37764505119453928</v>
      </c>
      <c r="H46" s="35"/>
    </row>
    <row r="47" spans="2:12" x14ac:dyDescent="0.3">
      <c r="B47" s="332" t="s">
        <v>1363</v>
      </c>
      <c r="C47" s="333" t="str">
        <f>INDEX($B$38:$B$43,MATCH(MIN($E$38:$E$43),$E$38:$E$43,0))</f>
        <v>Other Operating Expenses</v>
      </c>
      <c r="D47" s="334"/>
      <c r="E47" s="335">
        <f>MIN($E$38:$E$43)</f>
        <v>3.499999999999992E-2</v>
      </c>
      <c r="H47" s="35"/>
    </row>
    <row r="48" spans="2:12" x14ac:dyDescent="0.3">
      <c r="B48" s="26"/>
      <c r="H48" s="35"/>
    </row>
    <row r="49" spans="2:12" x14ac:dyDescent="0.3">
      <c r="B49" s="336" t="s">
        <v>1393</v>
      </c>
      <c r="C49" s="1"/>
      <c r="D49" s="1"/>
      <c r="E49" s="1"/>
      <c r="F49" s="1"/>
      <c r="G49" s="1"/>
      <c r="H49" s="208"/>
      <c r="I49" s="1"/>
      <c r="J49" s="1"/>
      <c r="K49" s="1"/>
      <c r="L49" s="1"/>
    </row>
    <row r="50" spans="2:12" x14ac:dyDescent="0.3">
      <c r="B50" s="337" t="s">
        <v>1394</v>
      </c>
      <c r="C50" s="320">
        <f>('Profit &amp; Loss'!H21+'Profit &amp; Loss'!H22+'Profit &amp; Loss'!H23)/('Profit &amp; Loss'!H15-'Profit &amp; Loss'!H17)</f>
        <v>0.52009441595639583</v>
      </c>
      <c r="H50" s="35"/>
    </row>
    <row r="51" spans="2:12" x14ac:dyDescent="0.3">
      <c r="B51" s="337" t="s">
        <v>1395</v>
      </c>
      <c r="C51" s="321">
        <f>-(C50-('Profit &amp; Loss'!H21+'Profit &amp; Loss'!H22+'Profit &amp; Loss'!H23)/('Profit &amp; Loss'!M15-'Profit &amp; Loss'!M17))</f>
        <v>-0.41174645857964748</v>
      </c>
      <c r="H51" s="35"/>
    </row>
    <row r="52" spans="2:12" x14ac:dyDescent="0.3">
      <c r="B52" s="337" t="s">
        <v>1396</v>
      </c>
      <c r="C52" s="321">
        <f>(('Profit &amp; Loss'!M21+'Profit &amp; Loss'!M22+'Profit &amp; Loss'!M23)-('Profit &amp; Loss'!H21+'Profit &amp; Loss'!H22+'Profit &amp; Loss'!H23))/('Profit &amp; Loss'!M15-'Profit &amp; Loss'!M17)</f>
        <v>0.16962964588973195</v>
      </c>
      <c r="H52" s="35"/>
    </row>
    <row r="53" spans="2:12" x14ac:dyDescent="0.3">
      <c r="B53" s="338" t="s">
        <v>1397</v>
      </c>
      <c r="C53" s="320">
        <f>C50+C51+C52</f>
        <v>0.2779776032664803</v>
      </c>
      <c r="H53" s="35"/>
    </row>
    <row r="54" spans="2:12" x14ac:dyDescent="0.3">
      <c r="B54" s="332" t="s">
        <v>1398</v>
      </c>
      <c r="C54" s="339">
        <f>C53-('Profit &amp; Loss'!M21+'Profit &amp; Loss'!M22+'Profit &amp; Loss'!M23)/('Profit &amp; Loss'!M15-'Profit &amp; Loss'!M17)</f>
        <v>0</v>
      </c>
      <c r="H54" s="35"/>
    </row>
    <row r="55" spans="2:12" x14ac:dyDescent="0.3">
      <c r="B55" s="26"/>
      <c r="H55" s="35"/>
    </row>
    <row r="56" spans="2:12" ht="55.8" customHeight="1" x14ac:dyDescent="0.3">
      <c r="B56" s="597" t="str">
        <f>"READ IT THIS WAY: none of the "&amp;TEXT((C50-C53)*100,"0.0")&amp;"-point improvement comes from cutting costs. Income scale delivers "&amp;TEXT(-C51*100,"0.0")&amp;" points; opex growth gives back "&amp;TEXT(C52*100,"0.0")&amp;" points as the branch network and headcount build out. "&amp;"Opex itself rises from ₹"&amp;TEXT('Profit &amp; Loss'!H21+'Profit &amp; Loss'!H22+'Profit &amp; Loss'!H23,"#,##0")&amp;" Cr to ₹"&amp;TEXT('Profit &amp; Loss'!M21+'Profit &amp; Loss'!M22+'Profit &amp; Loss'!M23,"#,##0")&amp;" Cr - about "&amp;TEXT(('Profit &amp; Loss'!M21+'Profit &amp; Loss'!M22+'Profit &amp; Loss'!M23)/('Profit &amp; Loss'!H21+'Profit &amp; Loss'!H22+'Profit &amp; Loss'!H23),"0.0")&amp;"x. "&amp;"So the efficiency claim is entirely a claim about the AUM path: if AUM undershoots, cost-to-income does NOT improve as modelled, because the cost base is committed ahead of the income. That is the honest version of the "&amp;TEXT(C50,"0.0%")&amp;" to "&amp;TEXT(C53,"0.0%")&amp;" story."</f>
        <v>READ IT THIS WAY: none of the 24.2-point improvement comes from cutting costs. Income scale delivers 41.2 points; opex growth gives back 17.0 points as the branch network and headcount build out. Opex itself rises from ₹2,095 Cr to ₹5,376 Cr - about 2.6x. So the efficiency claim is entirely a claim about the AUM path: if AUM undershoots, cost-to-income does NOT improve as modelled, because the cost base is committed ahead of the income. That is the honest version of the 52.0% to 27.8% story.</v>
      </c>
      <c r="C56" s="598"/>
      <c r="D56" s="598"/>
      <c r="E56" s="598"/>
      <c r="F56" s="598"/>
      <c r="G56" s="598"/>
      <c r="H56" s="599"/>
    </row>
  </sheetData>
  <mergeCells count="3">
    <mergeCell ref="B1:H1"/>
    <mergeCell ref="B2:H2"/>
    <mergeCell ref="B56:H56"/>
  </mergeCells>
  <hyperlinks>
    <hyperlink ref="L1" location="Home!A1" tooltip="Back to Home / Index" display="⌂ Home" xr:uid="{C6D30C90-342C-4541-B512-143B3FA2AB70}"/>
  </hyperlinks>
  <pageMargins left="0.25" right="0.25" top="0.75" bottom="0.75" header="0.3" footer="0.3"/>
  <pageSetup orientation="landscape"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1B7AF-2B74-4FA5-A434-B466F4F5E839}">
  <sheetPr>
    <tabColor rgb="FFC6E0B4"/>
  </sheetPr>
  <dimension ref="B1:L112"/>
  <sheetViews>
    <sheetView showGridLines="0" topLeftCell="F1" zoomScaleNormal="100" workbookViewId="0">
      <selection activeCell="M3" sqref="M3"/>
    </sheetView>
  </sheetViews>
  <sheetFormatPr defaultRowHeight="14.4" x14ac:dyDescent="0.3"/>
  <cols>
    <col min="1" max="1" width="1.77734375" customWidth="1"/>
    <col min="2" max="2" width="50" style="343" customWidth="1"/>
    <col min="3" max="7" width="17.5546875" customWidth="1"/>
    <col min="8" max="8" width="14" style="356" bestFit="1" customWidth="1"/>
    <col min="9" max="9" width="8.88671875" customWidth="1"/>
    <col min="10" max="10" width="10.44140625" style="723" customWidth="1"/>
    <col min="11" max="11" width="8.88671875" customWidth="1"/>
    <col min="12" max="12" width="8.21875" bestFit="1" customWidth="1"/>
  </cols>
  <sheetData>
    <row r="1" spans="2:12" ht="25.95" customHeight="1" x14ac:dyDescent="0.35">
      <c r="B1" s="616" t="s">
        <v>1172</v>
      </c>
      <c r="C1" s="617"/>
      <c r="D1" s="617"/>
      <c r="E1" s="617"/>
      <c r="F1" s="617"/>
      <c r="G1" s="617"/>
      <c r="H1" s="618"/>
      <c r="L1" s="269" t="s">
        <v>891</v>
      </c>
    </row>
    <row r="2" spans="2:12" ht="42" customHeight="1" x14ac:dyDescent="0.3">
      <c r="B2" s="619" t="s">
        <v>1173</v>
      </c>
      <c r="C2" s="521"/>
      <c r="D2" s="521"/>
      <c r="E2" s="521"/>
      <c r="F2" s="521"/>
      <c r="G2" s="521"/>
      <c r="H2" s="522"/>
    </row>
    <row r="3" spans="2:12" ht="63" customHeight="1" x14ac:dyDescent="0.3">
      <c r="B3" s="621" t="s">
        <v>1323</v>
      </c>
      <c r="C3" s="622"/>
      <c r="D3" s="622"/>
      <c r="E3" s="622"/>
      <c r="F3" s="622"/>
      <c r="G3" s="622"/>
      <c r="H3" s="623"/>
    </row>
    <row r="4" spans="2:12" x14ac:dyDescent="0.3">
      <c r="B4" s="625" t="s">
        <v>1174</v>
      </c>
      <c r="C4" s="626"/>
      <c r="D4" s="626"/>
      <c r="E4" s="626"/>
      <c r="F4" s="626"/>
      <c r="G4" s="626"/>
      <c r="H4" s="627"/>
    </row>
    <row r="5" spans="2:12" x14ac:dyDescent="0.3">
      <c r="B5" s="342" t="s">
        <v>266</v>
      </c>
      <c r="C5" s="179" t="s">
        <v>267</v>
      </c>
      <c r="D5" s="179" t="s">
        <v>1175</v>
      </c>
      <c r="E5" s="179" t="s">
        <v>1176</v>
      </c>
      <c r="F5" s="470" t="s">
        <v>1177</v>
      </c>
      <c r="G5" s="470"/>
      <c r="H5" s="624"/>
    </row>
    <row r="6" spans="2:12" x14ac:dyDescent="0.3">
      <c r="B6" s="343" t="str">
        <f>'Portfolio Mix'!B5</f>
        <v>Loan Against Property (LAP)</v>
      </c>
      <c r="C6" s="344">
        <f>'Portfolio Mix'!C5</f>
        <v>16935</v>
      </c>
      <c r="D6" s="345">
        <v>0.75</v>
      </c>
      <c r="E6" s="344">
        <f t="shared" ref="E6:E17" si="0">C6*D6</f>
        <v>12701.25</v>
      </c>
      <c r="F6" s="611" t="s">
        <v>1178</v>
      </c>
      <c r="G6" s="611"/>
      <c r="H6" s="612"/>
    </row>
    <row r="7" spans="2:12" x14ac:dyDescent="0.3">
      <c r="B7" s="343" t="str">
        <f>'Portfolio Mix'!B6</f>
        <v>Instant Consumer Loan</v>
      </c>
      <c r="C7" s="344">
        <f>'Portfolio Mix'!C6</f>
        <v>11197</v>
      </c>
      <c r="D7" s="345">
        <v>1.25</v>
      </c>
      <c r="E7" s="344">
        <f t="shared" si="0"/>
        <v>13996.25</v>
      </c>
      <c r="F7" s="611" t="s">
        <v>1179</v>
      </c>
      <c r="G7" s="611"/>
      <c r="H7" s="612"/>
    </row>
    <row r="8" spans="2:12" x14ac:dyDescent="0.3">
      <c r="B8" s="343" t="str">
        <f>'Portfolio Mix'!B7</f>
        <v>Pre-Owned Car Finance (POC)</v>
      </c>
      <c r="C8" s="344">
        <f>'Portfolio Mix'!C7</f>
        <v>9245</v>
      </c>
      <c r="D8" s="345">
        <v>1</v>
      </c>
      <c r="E8" s="344">
        <f t="shared" si="0"/>
        <v>9245</v>
      </c>
      <c r="F8" s="611" t="s">
        <v>1180</v>
      </c>
      <c r="G8" s="611"/>
      <c r="H8" s="612"/>
    </row>
    <row r="9" spans="2:12" x14ac:dyDescent="0.3">
      <c r="B9" s="343" t="str">
        <f>'Portfolio Mix'!B8</f>
        <v>Business Loan</v>
      </c>
      <c r="C9" s="344">
        <f>'Portfolio Mix'!C8</f>
        <v>7303</v>
      </c>
      <c r="D9" s="345">
        <v>0.75</v>
      </c>
      <c r="E9" s="344">
        <f t="shared" si="0"/>
        <v>5477.25</v>
      </c>
      <c r="F9" s="611" t="s">
        <v>1181</v>
      </c>
      <c r="G9" s="611"/>
      <c r="H9" s="612"/>
    </row>
    <row r="10" spans="2:12" x14ac:dyDescent="0.3">
      <c r="B10" s="343" t="str">
        <f>'Portfolio Mix'!B9</f>
        <v>Prime Personal Loan</v>
      </c>
      <c r="C10" s="344">
        <f>'Portfolio Mix'!C9</f>
        <v>4802</v>
      </c>
      <c r="D10" s="345">
        <v>1.25</v>
      </c>
      <c r="E10" s="344">
        <f t="shared" si="0"/>
        <v>6002.5</v>
      </c>
      <c r="F10" s="611" t="s">
        <v>1182</v>
      </c>
      <c r="G10" s="611"/>
      <c r="H10" s="612"/>
    </row>
    <row r="11" spans="2:12" x14ac:dyDescent="0.3">
      <c r="B11" s="343" t="str">
        <f>'Portfolio Mix'!B10</f>
        <v>Gold Loan</v>
      </c>
      <c r="C11" s="344">
        <f>'Portfolio Mix'!C10</f>
        <v>1299</v>
      </c>
      <c r="D11" s="345">
        <v>1</v>
      </c>
      <c r="E11" s="344">
        <f t="shared" si="0"/>
        <v>1299</v>
      </c>
      <c r="F11" s="611" t="s">
        <v>1183</v>
      </c>
      <c r="G11" s="611"/>
      <c r="H11" s="612"/>
    </row>
    <row r="12" spans="2:12" x14ac:dyDescent="0.3">
      <c r="B12" s="343" t="str">
        <f>'Portfolio Mix'!B11</f>
        <v>Commercial Vehicle Loan</v>
      </c>
      <c r="C12" s="344">
        <f>'Portfolio Mix'!C11</f>
        <v>939</v>
      </c>
      <c r="D12" s="345">
        <v>1</v>
      </c>
      <c r="E12" s="344">
        <f t="shared" si="0"/>
        <v>939</v>
      </c>
      <c r="F12" s="611" t="s">
        <v>1184</v>
      </c>
      <c r="G12" s="611"/>
      <c r="H12" s="612"/>
    </row>
    <row r="13" spans="2:12" x14ac:dyDescent="0.3">
      <c r="B13" s="343" t="str">
        <f>'Portfolio Mix'!B12</f>
        <v>Education Loan</v>
      </c>
      <c r="C13" s="344">
        <f>'Portfolio Mix'!C12</f>
        <v>876</v>
      </c>
      <c r="D13" s="345">
        <v>1</v>
      </c>
      <c r="E13" s="344">
        <f t="shared" si="0"/>
        <v>876</v>
      </c>
      <c r="F13" s="611" t="s">
        <v>1185</v>
      </c>
      <c r="G13" s="611"/>
      <c r="H13" s="612"/>
    </row>
    <row r="14" spans="2:12" x14ac:dyDescent="0.3">
      <c r="B14" s="343" t="str">
        <f>'Portfolio Mix'!B13</f>
        <v>Machinery &amp; Medical Equipment Loan</v>
      </c>
      <c r="C14" s="344">
        <f>'Portfolio Mix'!C13</f>
        <v>783</v>
      </c>
      <c r="D14" s="345">
        <v>1</v>
      </c>
      <c r="E14" s="344">
        <f t="shared" si="0"/>
        <v>783</v>
      </c>
      <c r="F14" s="611" t="s">
        <v>1186</v>
      </c>
      <c r="G14" s="611"/>
      <c r="H14" s="612"/>
    </row>
    <row r="15" spans="2:12" x14ac:dyDescent="0.3">
      <c r="B15" s="343" t="str">
        <f>'Portfolio Mix'!B14</f>
        <v>Professional Loan</v>
      </c>
      <c r="C15" s="344">
        <f>'Portfolio Mix'!C14</f>
        <v>787</v>
      </c>
      <c r="D15" s="345">
        <v>1.25</v>
      </c>
      <c r="E15" s="344">
        <f t="shared" si="0"/>
        <v>983.75</v>
      </c>
      <c r="F15" s="611" t="s">
        <v>1187</v>
      </c>
      <c r="G15" s="611"/>
      <c r="H15" s="612"/>
    </row>
    <row r="16" spans="2:12" x14ac:dyDescent="0.3">
      <c r="B16" s="343" t="str">
        <f>'Portfolio Mix'!B15</f>
        <v>Consumer Durable Loan</v>
      </c>
      <c r="C16" s="344">
        <f>'Portfolio Mix'!C15</f>
        <v>382</v>
      </c>
      <c r="D16" s="345">
        <v>1.25</v>
      </c>
      <c r="E16" s="344">
        <f t="shared" si="0"/>
        <v>477.5</v>
      </c>
      <c r="F16" s="611" t="s">
        <v>1188</v>
      </c>
      <c r="G16" s="611"/>
      <c r="H16" s="612"/>
    </row>
    <row r="17" spans="2:8" x14ac:dyDescent="0.3">
      <c r="B17" s="343" t="str">
        <f>'Portfolio Mix'!B16</f>
        <v>Other / Legacy Portfolio (reconciling)</v>
      </c>
      <c r="C17" s="344">
        <f>'Portfolio Mix'!C16</f>
        <v>5799</v>
      </c>
      <c r="D17" s="345">
        <v>1</v>
      </c>
      <c r="E17" s="344">
        <f t="shared" si="0"/>
        <v>5799</v>
      </c>
      <c r="F17" s="611" t="s">
        <v>1189</v>
      </c>
      <c r="G17" s="611"/>
      <c r="H17" s="612"/>
    </row>
    <row r="18" spans="2:8" x14ac:dyDescent="0.3">
      <c r="B18" s="346" t="s">
        <v>1190</v>
      </c>
      <c r="C18" s="347">
        <f>SUM(C6:C17)</f>
        <v>60347</v>
      </c>
      <c r="D18" s="348">
        <f>IFERROR(E18/C18,"")</f>
        <v>0.97071105440204153</v>
      </c>
      <c r="E18" s="347">
        <f>SUM(E6:E17)</f>
        <v>58579.5</v>
      </c>
      <c r="F18" s="611" t="s">
        <v>1191</v>
      </c>
      <c r="G18" s="611"/>
      <c r="H18" s="612"/>
    </row>
    <row r="20" spans="2:8" x14ac:dyDescent="0.3">
      <c r="B20" s="620" t="s">
        <v>1192</v>
      </c>
      <c r="C20" s="524"/>
      <c r="D20" s="524"/>
      <c r="E20" s="524"/>
      <c r="F20" s="524"/>
      <c r="G20" s="524"/>
      <c r="H20" s="525"/>
    </row>
    <row r="21" spans="2:8" x14ac:dyDescent="0.3">
      <c r="B21" s="342" t="s">
        <v>3</v>
      </c>
      <c r="C21" s="179" t="s">
        <v>256</v>
      </c>
      <c r="D21" s="179" t="s">
        <v>257</v>
      </c>
      <c r="E21" s="179" t="s">
        <v>258</v>
      </c>
      <c r="F21" s="179" t="s">
        <v>259</v>
      </c>
      <c r="G21" s="179" t="s">
        <v>260</v>
      </c>
      <c r="H21" s="351" t="s">
        <v>261</v>
      </c>
    </row>
    <row r="22" spans="2:8" x14ac:dyDescent="0.3">
      <c r="B22" s="343" t="s">
        <v>262</v>
      </c>
      <c r="C22" s="344">
        <f>'KPIs &amp; Ratios'!H95</f>
        <v>60348</v>
      </c>
      <c r="D22" s="344">
        <f>'KPIs &amp; Ratios'!I95</f>
        <v>84810.860956499993</v>
      </c>
      <c r="E22" s="344">
        <f>'KPIs &amp; Ratios'!J95</f>
        <v>118563.4783377625</v>
      </c>
      <c r="F22" s="344">
        <f>'KPIs &amp; Ratios'!K95</f>
        <v>156797.64414804938</v>
      </c>
      <c r="G22" s="344">
        <f>'KPIs &amp; Ratios'!L95</f>
        <v>198928.52430378739</v>
      </c>
      <c r="H22" s="352">
        <f>'KPIs &amp; Ratios'!M95</f>
        <v>246011.83189515059</v>
      </c>
    </row>
    <row r="23" spans="2:8" x14ac:dyDescent="0.3">
      <c r="B23" s="343" t="s">
        <v>1193</v>
      </c>
      <c r="C23" s="76">
        <f t="shared" ref="C23:H23" si="1">$D$18</f>
        <v>0.97071105440204153</v>
      </c>
      <c r="D23" s="76">
        <f t="shared" si="1"/>
        <v>0.97071105440204153</v>
      </c>
      <c r="E23" s="76">
        <f t="shared" si="1"/>
        <v>0.97071105440204153</v>
      </c>
      <c r="F23" s="76">
        <f t="shared" si="1"/>
        <v>0.97071105440204153</v>
      </c>
      <c r="G23" s="76">
        <f t="shared" si="1"/>
        <v>0.97071105440204153</v>
      </c>
      <c r="H23" s="353">
        <f t="shared" si="1"/>
        <v>0.97071105440204153</v>
      </c>
    </row>
    <row r="24" spans="2:8" x14ac:dyDescent="0.3">
      <c r="B24" s="343" t="s">
        <v>1194</v>
      </c>
      <c r="C24" s="344">
        <f t="shared" ref="C24:H24" si="2">C22*C23</f>
        <v>58580.470711054404</v>
      </c>
      <c r="D24" s="344">
        <f t="shared" si="2"/>
        <v>82326.840263829043</v>
      </c>
      <c r="E24" s="344">
        <f t="shared" si="2"/>
        <v>115090.87907082305</v>
      </c>
      <c r="F24" s="344">
        <f t="shared" si="2"/>
        <v>152205.20647870912</v>
      </c>
      <c r="G24" s="344">
        <f t="shared" si="2"/>
        <v>193102.1175775716</v>
      </c>
      <c r="H24" s="352">
        <f t="shared" si="2"/>
        <v>238806.40473431943</v>
      </c>
    </row>
    <row r="25" spans="2:8" x14ac:dyDescent="0.3">
      <c r="B25" s="343" t="s">
        <v>1223</v>
      </c>
      <c r="C25" s="344">
        <f>'Profit &amp; Loss'!H15*0.15*12.5</f>
        <v>12741.843750000002</v>
      </c>
      <c r="D25" s="344">
        <f>'Profit &amp; Loss'!H15*0.15*12.5</f>
        <v>12741.843750000002</v>
      </c>
      <c r="E25" s="344">
        <f>'Profit &amp; Loss'!I15*0.15*12.5</f>
        <v>21094.516352812498</v>
      </c>
      <c r="F25" s="344">
        <f>'Profit &amp; Loss'!J15*0.15*12.5</f>
        <v>29914.110443273432</v>
      </c>
      <c r="G25" s="344">
        <f>'Profit &amp; Loss'!K15*0.15*12.5</f>
        <v>39400.37281759864</v>
      </c>
      <c r="H25" s="352">
        <f>'Profit &amp; Loss'!L15*0.15*12.5</f>
        <v>49519.010066893505</v>
      </c>
    </row>
    <row r="26" spans="2:8" x14ac:dyDescent="0.3">
      <c r="B26" s="346" t="s">
        <v>1195</v>
      </c>
      <c r="C26" s="347">
        <f t="shared" ref="C26:H26" si="3">C24+C25</f>
        <v>71322.314461054411</v>
      </c>
      <c r="D26" s="347">
        <f t="shared" si="3"/>
        <v>95068.684013829043</v>
      </c>
      <c r="E26" s="347">
        <f t="shared" si="3"/>
        <v>136185.39542363555</v>
      </c>
      <c r="F26" s="347">
        <f t="shared" si="3"/>
        <v>182119.31692198256</v>
      </c>
      <c r="G26" s="347">
        <f t="shared" si="3"/>
        <v>232502.49039517023</v>
      </c>
      <c r="H26" s="354">
        <f t="shared" si="3"/>
        <v>288325.41480121296</v>
      </c>
    </row>
    <row r="28" spans="2:8" x14ac:dyDescent="0.3">
      <c r="B28" s="343" t="s">
        <v>1196</v>
      </c>
      <c r="C28" s="344">
        <f>'Balance Sheet'!H55</f>
        <v>10348.24</v>
      </c>
      <c r="D28" s="344">
        <f>'Balance Sheet'!I55</f>
        <v>17112.363122489227</v>
      </c>
      <c r="E28" s="344">
        <f>'Balance Sheet'!J55</f>
        <v>24513.371176254397</v>
      </c>
      <c r="F28" s="344">
        <f>'Balance Sheet'!K55</f>
        <v>32781.477045956861</v>
      </c>
      <c r="G28" s="344">
        <f>'Balance Sheet'!L55</f>
        <v>41850.448271130641</v>
      </c>
      <c r="H28" s="352">
        <f>'Balance Sheet'!M55</f>
        <v>51898.574664218329</v>
      </c>
    </row>
    <row r="29" spans="2:8" x14ac:dyDescent="0.3">
      <c r="B29" s="343" t="s">
        <v>1197</v>
      </c>
      <c r="C29" s="344">
        <f>MIN('Balance Sheet'!H41,C28)</f>
        <v>374.99</v>
      </c>
      <c r="D29" s="344">
        <f>MIN('Balance Sheet'!I41,D28)</f>
        <v>572.27186019873943</v>
      </c>
      <c r="E29" s="344">
        <f>MIN('Balance Sheet'!J41,E28)</f>
        <v>794.43516003537093</v>
      </c>
      <c r="F29" s="344">
        <f>MIN('Balance Sheet'!K41,F28)</f>
        <v>1047.0255193738994</v>
      </c>
      <c r="G29" s="344">
        <f>MIN('Balance Sheet'!L41,G28)</f>
        <v>1325.6826202990464</v>
      </c>
      <c r="H29" s="352">
        <f>MIN('Balance Sheet'!M41,H28)</f>
        <v>1637.7461135552498</v>
      </c>
    </row>
    <row r="30" spans="2:8" x14ac:dyDescent="0.3">
      <c r="B30" s="346" t="s">
        <v>1198</v>
      </c>
      <c r="C30" s="347">
        <f t="shared" ref="C30:H30" si="4">C28+C29</f>
        <v>10723.23</v>
      </c>
      <c r="D30" s="347">
        <f t="shared" si="4"/>
        <v>17684.634982687967</v>
      </c>
      <c r="E30" s="347">
        <f t="shared" si="4"/>
        <v>25307.806336289766</v>
      </c>
      <c r="F30" s="347">
        <f t="shared" si="4"/>
        <v>33828.50256533076</v>
      </c>
      <c r="G30" s="347">
        <f t="shared" si="4"/>
        <v>43176.13089142969</v>
      </c>
      <c r="H30" s="354">
        <f t="shared" si="4"/>
        <v>53536.320777773581</v>
      </c>
    </row>
    <row r="32" spans="2:8" x14ac:dyDescent="0.3">
      <c r="B32" s="346" t="s">
        <v>1199</v>
      </c>
      <c r="C32" s="78">
        <f t="shared" ref="C32:H32" si="5">IFERROR(C30/C26,"")</f>
        <v>0.15034887862276855</v>
      </c>
      <c r="D32" s="78">
        <f t="shared" si="5"/>
        <v>0.18601956223687177</v>
      </c>
      <c r="E32" s="78">
        <f t="shared" si="5"/>
        <v>0.18583348278693246</v>
      </c>
      <c r="F32" s="78">
        <f t="shared" si="5"/>
        <v>0.18574911841901115</v>
      </c>
      <c r="G32" s="78">
        <f t="shared" si="5"/>
        <v>0.18570179965834288</v>
      </c>
      <c r="H32" s="355">
        <f t="shared" si="5"/>
        <v>0.18568020032047608</v>
      </c>
    </row>
    <row r="33" spans="2:8" x14ac:dyDescent="0.3">
      <c r="B33" s="343" t="s">
        <v>1200</v>
      </c>
      <c r="C33" s="76">
        <f t="shared" ref="C33:H33" si="6">IFERROR(C28/C26,"")</f>
        <v>0.14509119730895248</v>
      </c>
      <c r="D33" s="76">
        <f t="shared" si="6"/>
        <v>0.18</v>
      </c>
      <c r="E33" s="76">
        <f t="shared" si="6"/>
        <v>0.18</v>
      </c>
      <c r="F33" s="76">
        <f t="shared" si="6"/>
        <v>0.18</v>
      </c>
      <c r="G33" s="76">
        <f t="shared" si="6"/>
        <v>0.18</v>
      </c>
      <c r="H33" s="353">
        <f t="shared" si="6"/>
        <v>0.18</v>
      </c>
    </row>
    <row r="34" spans="2:8" x14ac:dyDescent="0.3">
      <c r="B34" s="346" t="s">
        <v>1201</v>
      </c>
      <c r="C34" s="181">
        <f>'KPIs &amp; Ratios'!H53</f>
        <v>16.829999999999998</v>
      </c>
    </row>
    <row r="36" spans="2:8" x14ac:dyDescent="0.3">
      <c r="B36" s="620" t="s">
        <v>1202</v>
      </c>
      <c r="C36" s="524"/>
      <c r="D36" s="524"/>
      <c r="E36" s="524"/>
      <c r="F36" s="524"/>
      <c r="G36" s="524"/>
      <c r="H36" s="525"/>
    </row>
    <row r="37" spans="2:8" x14ac:dyDescent="0.3">
      <c r="B37" s="343" t="s">
        <v>1203</v>
      </c>
      <c r="C37" s="357">
        <v>0.15</v>
      </c>
    </row>
    <row r="38" spans="2:8" ht="77.400000000000006" customHeight="1" x14ac:dyDescent="0.3">
      <c r="B38" s="358" t="s">
        <v>1204</v>
      </c>
      <c r="C38" s="357">
        <v>0.03</v>
      </c>
      <c r="D38" s="600" t="str">
        <f>"WHY 3%? Anchored to the Company's own disclosed CRAR history: "&amp;TEXT('KPIs &amp; Ratios'!F53,"0.0")&amp;"% (FY24), "&amp;TEXT('KPIs &amp; Ratios'!G53,"0.0")&amp;"% (FY25), "&amp;TEXT('KPIs &amp; Ratios'!H53,"0.0")&amp;"% (FY26), plus 20.74% simulated post-QIP on the March 2026 balance sheet (AR FY26 KPI page). "&amp;"An 18% target therefore sits BELOW every level the Company has actually operated at, while 300bps above the NBFC-UL floor gives roughly one Downside year of loss absorption without breaching. "&amp;"It is still a POLICY choice, not a regulation: the sensitivity at rows 108-110 prices it at about ₹"&amp;TEXT($H$26*0.01,"#,##0")&amp;" Cr of equity per percentage point."</f>
        <v>WHY 3%? Anchored to the Company's own disclosed CRAR history: 33.8% (FY24), 22.9% (FY25), 16.8% (FY26), plus 20.74% simulated post-QIP on the March 2026 balance sheet (AR FY26 KPI page). An 18% target therefore sits BELOW every level the Company has actually operated at, while 300bps above the NBFC-UL floor gives roughly one Downside year of loss absorption without breaching. It is still a POLICY choice, not a regulation: the sensitivity at rows 108-110 prices it at about ₹2,883 Cr of equity per percentage point.</v>
      </c>
      <c r="E38" s="600"/>
      <c r="F38" s="600"/>
      <c r="G38" s="600"/>
      <c r="H38" s="601"/>
    </row>
    <row r="39" spans="2:8" x14ac:dyDescent="0.3">
      <c r="B39" s="346" t="s">
        <v>1205</v>
      </c>
      <c r="C39" s="78">
        <f>C37+C38</f>
        <v>0.18</v>
      </c>
    </row>
    <row r="41" spans="2:8" x14ac:dyDescent="0.3">
      <c r="B41" s="343" t="s">
        <v>1206</v>
      </c>
      <c r="C41" s="344">
        <f t="shared" ref="C41:H41" si="7">C26*$C$39</f>
        <v>12838.016602989794</v>
      </c>
      <c r="D41" s="344">
        <f t="shared" si="7"/>
        <v>17112.363122489227</v>
      </c>
      <c r="E41" s="344">
        <f t="shared" si="7"/>
        <v>24513.371176254397</v>
      </c>
      <c r="F41" s="344">
        <f t="shared" si="7"/>
        <v>32781.477045956861</v>
      </c>
      <c r="G41" s="344">
        <f t="shared" si="7"/>
        <v>41850.448271130641</v>
      </c>
      <c r="H41" s="352">
        <f t="shared" si="7"/>
        <v>51898.574664218329</v>
      </c>
    </row>
    <row r="42" spans="2:8" x14ac:dyDescent="0.3">
      <c r="B42" s="343" t="s">
        <v>1207</v>
      </c>
      <c r="C42" s="344">
        <f t="shared" ref="C42:H42" si="8">C30</f>
        <v>10723.23</v>
      </c>
      <c r="D42" s="344">
        <f t="shared" si="8"/>
        <v>17684.634982687967</v>
      </c>
      <c r="E42" s="344">
        <f t="shared" si="8"/>
        <v>25307.806336289766</v>
      </c>
      <c r="F42" s="344">
        <f t="shared" si="8"/>
        <v>33828.50256533076</v>
      </c>
      <c r="G42" s="344">
        <f t="shared" si="8"/>
        <v>43176.13089142969</v>
      </c>
      <c r="H42" s="352">
        <f t="shared" si="8"/>
        <v>53536.320777773581</v>
      </c>
    </row>
    <row r="43" spans="2:8" x14ac:dyDescent="0.3">
      <c r="B43" s="346" t="s">
        <v>1381</v>
      </c>
      <c r="C43" s="347">
        <f t="shared" ref="C43:H43" si="9">C42-C41</f>
        <v>-2114.7866029897941</v>
      </c>
      <c r="D43" s="347">
        <f t="shared" si="9"/>
        <v>572.27186019873989</v>
      </c>
      <c r="E43" s="347">
        <f t="shared" si="9"/>
        <v>794.43516003536934</v>
      </c>
      <c r="F43" s="347">
        <f t="shared" si="9"/>
        <v>1047.0255193738994</v>
      </c>
      <c r="G43" s="347">
        <f t="shared" si="9"/>
        <v>1325.6826202990487</v>
      </c>
      <c r="H43" s="354">
        <f t="shared" si="9"/>
        <v>1637.7461135552512</v>
      </c>
    </row>
    <row r="44" spans="2:8" x14ac:dyDescent="0.3">
      <c r="B44" s="343" t="s">
        <v>1208</v>
      </c>
      <c r="C44" s="172" t="str">
        <f t="shared" ref="C44:H44" si="10">IF(C32&gt;=$C$39,"ABOVE TARGET",IF(C32&gt;=$C$37,"BELOW BUFFER","BREACH"))</f>
        <v>BELOW BUFFER</v>
      </c>
      <c r="D44" s="172" t="str">
        <f t="shared" si="10"/>
        <v>ABOVE TARGET</v>
      </c>
      <c r="E44" s="172" t="str">
        <f t="shared" si="10"/>
        <v>ABOVE TARGET</v>
      </c>
      <c r="F44" s="172" t="str">
        <f t="shared" si="10"/>
        <v>ABOVE TARGET</v>
      </c>
      <c r="G44" s="172" t="str">
        <f t="shared" si="10"/>
        <v>ABOVE TARGET</v>
      </c>
      <c r="H44" s="360" t="str">
        <f t="shared" si="10"/>
        <v>ABOVE TARGET</v>
      </c>
    </row>
    <row r="46" spans="2:8" x14ac:dyDescent="0.3">
      <c r="B46" s="343" t="s">
        <v>1209</v>
      </c>
      <c r="C46" s="344"/>
      <c r="D46" s="344">
        <f>'KPIs &amp; Ratios'!I35</f>
        <v>1781.8730524467937</v>
      </c>
      <c r="E46" s="344">
        <f>'KPIs &amp; Ratios'!J35</f>
        <v>3117.5046289059546</v>
      </c>
      <c r="F46" s="344">
        <f>'KPIs &amp; Ratios'!K35</f>
        <v>4514.9235668837218</v>
      </c>
      <c r="G46" s="344">
        <f>'KPIs &amp; Ratios'!L35</f>
        <v>5939.5821171954221</v>
      </c>
      <c r="H46" s="352">
        <f>'KPIs &amp; Ratios'!M35</f>
        <v>7832.1898261735259</v>
      </c>
    </row>
    <row r="47" spans="2:8" x14ac:dyDescent="0.3">
      <c r="B47" s="343" t="s">
        <v>1210</v>
      </c>
      <c r="C47" s="344"/>
      <c r="D47" s="344">
        <f>D41-C41</f>
        <v>4274.3465194994333</v>
      </c>
      <c r="E47" s="344">
        <f>E41-D41</f>
        <v>7401.0080537651702</v>
      </c>
      <c r="F47" s="344">
        <f>F41-E41</f>
        <v>8268.1058697024637</v>
      </c>
      <c r="G47" s="344">
        <f>G41-F41</f>
        <v>9068.9712251737801</v>
      </c>
      <c r="H47" s="352">
        <f>H41-G41</f>
        <v>10048.126393087688</v>
      </c>
    </row>
    <row r="48" spans="2:8" x14ac:dyDescent="0.3">
      <c r="B48" s="346" t="s">
        <v>1211</v>
      </c>
      <c r="C48" s="344"/>
      <c r="D48" s="347">
        <f>MAX(D47-D46,0)</f>
        <v>2492.4734670526395</v>
      </c>
      <c r="E48" s="347">
        <f>MAX(E47-E46,0)</f>
        <v>4283.5034248592156</v>
      </c>
      <c r="F48" s="347">
        <f>MAX(F47-F46,0)</f>
        <v>3753.1823028187418</v>
      </c>
      <c r="G48" s="347">
        <f>MAX(G47-G46,0)</f>
        <v>3129.389107978358</v>
      </c>
      <c r="H48" s="354">
        <f>MAX(H47-H46,0)</f>
        <v>2215.9365669141625</v>
      </c>
    </row>
    <row r="49" spans="2:8" x14ac:dyDescent="0.3">
      <c r="B49" s="346" t="s">
        <v>1212</v>
      </c>
      <c r="C49" s="347">
        <f>SUM(D48:H48)</f>
        <v>15874.484869623117</v>
      </c>
    </row>
    <row r="51" spans="2:8" x14ac:dyDescent="0.3">
      <c r="B51" s="620" t="s">
        <v>1272</v>
      </c>
      <c r="C51" s="524"/>
      <c r="D51" s="524"/>
      <c r="E51" s="524"/>
      <c r="F51" s="524"/>
      <c r="G51" s="524"/>
      <c r="H51" s="525"/>
    </row>
    <row r="52" spans="2:8" x14ac:dyDescent="0.3">
      <c r="B52" s="343" t="s">
        <v>1273</v>
      </c>
      <c r="C52" s="344"/>
      <c r="D52" s="344">
        <f>((C30+D46)/$C$39-D25)/D23</f>
        <v>58442.675323978685</v>
      </c>
      <c r="E52" s="344">
        <f>((D30+E46)/$C$39-E25)/E23</f>
        <v>97323.426477321584</v>
      </c>
      <c r="F52" s="344">
        <f>((E30+F46)/$C$39-F25)/F23</f>
        <v>139864.1972154812</v>
      </c>
      <c r="G52" s="344">
        <f>((F30+G46)/$C$39-G25)/G23</f>
        <v>187010.77952186108</v>
      </c>
      <c r="H52" s="352">
        <f>((G30+H46)/$C$39-H25)/H23</f>
        <v>240916.74697101788</v>
      </c>
    </row>
    <row r="53" spans="2:8" x14ac:dyDescent="0.3">
      <c r="B53" s="343" t="s">
        <v>1213</v>
      </c>
      <c r="C53" s="344"/>
      <c r="D53" s="344">
        <f>D22</f>
        <v>84810.860956499993</v>
      </c>
      <c r="E53" s="344">
        <f>E22</f>
        <v>118563.4783377625</v>
      </c>
      <c r="F53" s="344">
        <f>F22</f>
        <v>156797.64414804938</v>
      </c>
      <c r="G53" s="344">
        <f>G22</f>
        <v>198928.52430378739</v>
      </c>
      <c r="H53" s="352">
        <f>H22</f>
        <v>246011.83189515059</v>
      </c>
    </row>
    <row r="54" spans="2:8" x14ac:dyDescent="0.3">
      <c r="B54" s="346" t="s">
        <v>1214</v>
      </c>
      <c r="C54" s="344"/>
      <c r="D54" s="347">
        <f>D53-D52</f>
        <v>26368.185632521308</v>
      </c>
      <c r="E54" s="347">
        <f>E53-E52</f>
        <v>21240.051860440915</v>
      </c>
      <c r="F54" s="347">
        <f>F53-F52</f>
        <v>16933.446932568186</v>
      </c>
      <c r="G54" s="347">
        <f>G53-G52</f>
        <v>11917.744781926303</v>
      </c>
      <c r="H54" s="354">
        <f>H53-H52</f>
        <v>5095.0849241327087</v>
      </c>
    </row>
    <row r="55" spans="2:8" ht="30" customHeight="1" x14ac:dyDescent="0.3">
      <c r="B55" s="343" t="s">
        <v>1274</v>
      </c>
      <c r="C55" s="526" t="str">
        <f>IF(SUM(D54:H54)&gt;0,"CAPITAL-CONSTRAINED: the forecast AUM path cannot be funded from retained earnings alone. ₹"&amp;TEXT(C49,"#,##0")&amp;" Cr of external equity is required across FY27E-31E to hold the "&amp;TEXT($C$39,"0%")&amp;" target CRAR.","Self-funding: retained earnings support the forecast AUM path at target CRAR.")</f>
        <v>CAPITAL-CONSTRAINED: the forecast AUM path cannot be funded from retained earnings alone. ₹15,874 Cr of external equity is required across FY27E-31E to hold the 18% target CRAR.</v>
      </c>
      <c r="D55" s="526"/>
      <c r="E55" s="526"/>
      <c r="F55" s="526"/>
      <c r="G55" s="526"/>
      <c r="H55" s="613"/>
    </row>
    <row r="57" spans="2:8" x14ac:dyDescent="0.3">
      <c r="B57" s="620" t="s">
        <v>1229</v>
      </c>
      <c r="C57" s="524"/>
      <c r="D57" s="524"/>
      <c r="E57" s="524"/>
      <c r="F57" s="524"/>
      <c r="G57" s="524"/>
      <c r="H57" s="525"/>
    </row>
    <row r="58" spans="2:8" x14ac:dyDescent="0.3">
      <c r="B58" s="343" t="s">
        <v>1230</v>
      </c>
      <c r="C58" s="344">
        <f>SUM(D48:H48)</f>
        <v>15874.484869623117</v>
      </c>
    </row>
    <row r="59" spans="2:8" x14ac:dyDescent="0.3">
      <c r="B59" s="343" t="s">
        <v>1382</v>
      </c>
      <c r="C59" s="344">
        <f>C41-C28</f>
        <v>2489.7766029897939</v>
      </c>
    </row>
    <row r="60" spans="2:8" x14ac:dyDescent="0.3">
      <c r="B60" s="361" t="s">
        <v>1231</v>
      </c>
      <c r="C60" s="347">
        <f>C58+C59</f>
        <v>18364.26147261291</v>
      </c>
    </row>
    <row r="61" spans="2:8" ht="40.049999999999997" customHeight="1" x14ac:dyDescent="0.3">
      <c r="B61" s="362" t="s">
        <v>1221</v>
      </c>
      <c r="C61" s="614">
        <f>SUM('Balance Sheet'!I60:M60)</f>
        <v>18364.26147261291</v>
      </c>
      <c r="D61" s="526"/>
      <c r="E61" s="526"/>
      <c r="F61" s="526"/>
      <c r="G61" s="526"/>
      <c r="H61" s="613"/>
    </row>
    <row r="62" spans="2:8" x14ac:dyDescent="0.3">
      <c r="B62" s="346" t="s">
        <v>1232</v>
      </c>
      <c r="C62" s="347">
        <f>C60-C61</f>
        <v>0</v>
      </c>
      <c r="D62" s="363" t="str">
        <f>IF(ABS(C62)&lt;0.01,"✓ RECONCILED","⚠ DOES NOT RECONCILE")</f>
        <v>✓ RECONCILED</v>
      </c>
    </row>
    <row r="63" spans="2:8" x14ac:dyDescent="0.3">
      <c r="B63" s="620" t="s">
        <v>1216</v>
      </c>
      <c r="C63" s="524"/>
      <c r="D63" s="524"/>
      <c r="E63" s="524"/>
      <c r="F63" s="524"/>
      <c r="G63" s="524"/>
      <c r="H63" s="525"/>
    </row>
    <row r="64" spans="2:8" ht="28.05" customHeight="1" x14ac:dyDescent="0.3">
      <c r="B64" s="615" t="str">
        <f>"1.  CRAR on a risk-weighted basis is "&amp;TEXT(C32,"0.0%")&amp;" at FY26A (actual) and "&amp;TEXT(D32,"0.0%")&amp;" to "&amp;TEXT(H32,"0.0%")&amp;" across the forecast — the forecast now holds the "&amp;TEXT(C39,"0%")&amp;" target because equity is sized to the requirement. FY26A itself sits below that buffer."</f>
        <v>1.  CRAR on a risk-weighted basis is 15.0% at FY26A (actual) and 18.6% to 18.6% across the forecast — the forecast now holds the 18% target because equity is sized to the requirement. FY26A itself sits below that buffer.</v>
      </c>
      <c r="C64" s="526"/>
      <c r="D64" s="526"/>
      <c r="E64" s="526"/>
      <c r="F64" s="526"/>
      <c r="G64" s="526"/>
      <c r="H64" s="613"/>
    </row>
    <row r="65" spans="2:8" ht="28.05" customHeight="1" x14ac:dyDescent="0.3">
      <c r="B65" s="615" t="str">
        <f>"2.  Funding it needs ₹"&amp;TEXT(SUM(D48:H48),"#,##0")&amp;" Cr of external equity over FY27E-31E on an incremental basis, or ₹"&amp;TEXT(SUM('Balance Sheet'!I60:M60),"#,##0")&amp;" Cr including the FY27E catch-up from today's actual capital base. Retained earnings contribute ₹"&amp;TEXT(SUM(D46:H46),"#,##0")&amp;" Cr."</f>
        <v>2.  Funding it needs ₹15,874 Cr of external equity over FY27E-31E on an incremental basis, or ₹18,364 Cr including the FY27E catch-up from today's actual capital base. Retained earnings contribute ₹23,186 Cr.</v>
      </c>
      <c r="C65" s="526"/>
      <c r="D65" s="526"/>
      <c r="E65" s="526"/>
      <c r="F65" s="526"/>
      <c r="G65" s="526"/>
      <c r="H65" s="613"/>
    </row>
    <row r="66" spans="2:8" ht="28.05" customHeight="1" x14ac:dyDescent="0.3">
      <c r="B66" s="615" t="str">
        <f>"3.  Capital, not origination capacity, is the binding constraint. On a single-year basis retained earnings fall ₹"&amp;TEXT(H54,"#,##0")&amp;" Cr short of funding the FY31E book. On a cumulative five-year equity freeze the shortfall is far larger: ₹"&amp;TEXT(C81,"#,##0")&amp;" Cr of AUM, or "&amp;TEXT(1-C82,"0.0%")&amp;" of the plan (section 7)."</f>
        <v>3.  Capital, not origination capacity, is the binding constraint. On a single-year basis retained earnings fall ₹5,095 Cr short of funding the FY31E book. On a cumulative five-year equity freeze the shortfall is far larger: ₹1,02,956 Cr of AUM, or 41.8% of the plan (section 7).</v>
      </c>
      <c r="C66" s="526"/>
      <c r="D66" s="526"/>
      <c r="E66" s="526"/>
      <c r="F66" s="526"/>
      <c r="G66" s="526"/>
      <c r="H66" s="613"/>
    </row>
    <row r="67" spans="2:8" ht="28.05" customHeight="1" x14ac:dyDescent="0.3">
      <c r="B67" s="615" t="str">
        <f>"4.  Relief lever: shifting mix toward secured lending (management's 50:50 target) lowers the blended risk weight from "&amp;TEXT(D18,"0.0%")&amp;", cutting RWA and capital need without reducing AUM growth."</f>
        <v>4.  Relief lever: shifting mix toward secured lending (management's 50:50 target) lowers the blended risk weight from 97.1%, cutting RWA and capital need without reducing AUM growth.</v>
      </c>
      <c r="C67" s="526"/>
      <c r="D67" s="526"/>
      <c r="E67" s="526"/>
      <c r="F67" s="526"/>
      <c r="G67" s="526"/>
      <c r="H67" s="613"/>
    </row>
    <row r="68" spans="2:8" x14ac:dyDescent="0.3">
      <c r="B68" s="620" t="s">
        <v>1222</v>
      </c>
      <c r="C68" s="524"/>
      <c r="D68" s="524"/>
      <c r="E68" s="524"/>
      <c r="F68" s="524"/>
      <c r="G68" s="524"/>
      <c r="H68" s="525"/>
    </row>
    <row r="69" spans="2:8" ht="46.05" customHeight="1" x14ac:dyDescent="0.3">
      <c r="B69" s="628" t="str">
        <f>"Chain runs: Product AUM → RBI risk weights → RWA (+ operational risk) → target CRAR → required capital → Balance Sheet equity → less retained earnings → external equity raise. Balance Sheet equity (row 55) reads from row 41 of this sheet. "&amp;"NO CIRCULARITY: RWA derives from loans and PRIOR-year income only. "&amp;"BALANCING ITEM IS BORROWINGS, NOT CASH: total borrowings are the residual funding requirement (assets less equity less non-debt liabilities), allocated across instruments at the FY2026A mix - which is why borrowings/AUM falls from "&amp;TEXT('Funding Forecast'!C7,"0.0%")&amp;" to "&amp;TEXT('Funding Forecast'!H7,"0.0%")&amp;" as equity is sized to target. "&amp;"Cash is DRIVEN by a liquidity ratio (Balance Sheet row 63, "&amp;TEXT('Balance Sheet'!C63,"0.0%")&amp;" of AUM), not used to absorb the difference. The Balance Sheet still ties to zero in every period."</f>
        <v>Chain runs: Product AUM → RBI risk weights → RWA (+ operational risk) → target CRAR → required capital → Balance Sheet equity → less retained earnings → external equity raise. Balance Sheet equity (row 55) reads from row 41 of this sheet. NO CIRCULARITY: RWA derives from loans and PRIOR-year income only. BALANCING ITEM IS BORROWINGS, NOT CASH: total borrowings are the residual funding requirement (assets less equity less non-debt liabilities), allocated across instruments at the FY2026A mix - which is why borrowings/AUM falls from 86.0% to 81.3% as equity is sized to target. Cash is DRIVEN by a liquidity ratio (Balance Sheet row 63, 3.0% of AUM), not used to absorb the difference. The Balance Sheet still ties to zero in every period.</v>
      </c>
      <c r="C69" s="465"/>
      <c r="D69" s="465"/>
      <c r="E69" s="465"/>
      <c r="F69" s="465"/>
      <c r="G69" s="465"/>
      <c r="H69" s="629"/>
    </row>
    <row r="71" spans="2:8" x14ac:dyDescent="0.3">
      <c r="B71" s="364" t="s">
        <v>1275</v>
      </c>
      <c r="C71" s="365"/>
      <c r="D71" s="365"/>
      <c r="E71" s="365"/>
      <c r="F71" s="365"/>
      <c r="G71" s="365"/>
      <c r="H71" s="366"/>
    </row>
    <row r="72" spans="2:8" x14ac:dyDescent="0.3">
      <c r="B72" s="367" t="s">
        <v>1276</v>
      </c>
    </row>
    <row r="73" spans="2:8" x14ac:dyDescent="0.3">
      <c r="B73" s="368" t="s">
        <v>1277</v>
      </c>
      <c r="C73" s="369">
        <f>C30</f>
        <v>10723.23</v>
      </c>
    </row>
    <row r="74" spans="2:8" x14ac:dyDescent="0.3">
      <c r="B74" s="368" t="s">
        <v>1278</v>
      </c>
      <c r="C74" s="369">
        <f>SUM(D46:H46)</f>
        <v>23186.073191605417</v>
      </c>
    </row>
    <row r="75" spans="2:8" x14ac:dyDescent="0.3">
      <c r="B75" s="370" t="s">
        <v>1279</v>
      </c>
      <c r="C75" s="371">
        <f>C73+C74</f>
        <v>33909.303191605417</v>
      </c>
    </row>
    <row r="76" spans="2:8" x14ac:dyDescent="0.3">
      <c r="B76" s="368" t="s">
        <v>1280</v>
      </c>
      <c r="C76" s="369">
        <f>C75/$C$39</f>
        <v>188385.01773114121</v>
      </c>
    </row>
    <row r="77" spans="2:8" x14ac:dyDescent="0.3">
      <c r="B77" s="368" t="s">
        <v>1281</v>
      </c>
      <c r="C77" s="369">
        <f>H25</f>
        <v>49519.010066893505</v>
      </c>
    </row>
    <row r="78" spans="2:8" x14ac:dyDescent="0.3">
      <c r="B78" s="372" t="s">
        <v>1282</v>
      </c>
      <c r="C78" s="369">
        <f>C76-C77</f>
        <v>138866.00766424771</v>
      </c>
    </row>
    <row r="79" spans="2:8" x14ac:dyDescent="0.3">
      <c r="B79" s="373" t="s">
        <v>1283</v>
      </c>
      <c r="C79" s="371">
        <f>C78/H23</f>
        <v>143055.96607199372</v>
      </c>
    </row>
    <row r="80" spans="2:8" x14ac:dyDescent="0.3">
      <c r="B80" s="368" t="s">
        <v>1284</v>
      </c>
      <c r="C80" s="369">
        <f>H22</f>
        <v>246011.83189515059</v>
      </c>
    </row>
    <row r="81" spans="2:8" x14ac:dyDescent="0.3">
      <c r="B81" s="373" t="s">
        <v>1285</v>
      </c>
      <c r="C81" s="371">
        <f>C80-C79</f>
        <v>102955.86582315687</v>
      </c>
    </row>
    <row r="82" spans="2:8" x14ac:dyDescent="0.3">
      <c r="B82" s="368" t="s">
        <v>1286</v>
      </c>
      <c r="C82" s="374">
        <f>C79/C80</f>
        <v>0.58150034886518664</v>
      </c>
    </row>
    <row r="83" spans="2:8" x14ac:dyDescent="0.3">
      <c r="B83" s="368" t="s">
        <v>1287</v>
      </c>
      <c r="C83" s="369">
        <f>'Profit &amp; Loss'!M38*C82</f>
        <v>4554.421116298271</v>
      </c>
    </row>
    <row r="84" spans="2:8" x14ac:dyDescent="0.3">
      <c r="B84" s="368" t="s">
        <v>1288</v>
      </c>
      <c r="C84" s="369">
        <f>'Profit &amp; Loss'!M38-C83</f>
        <v>3277.7687098752549</v>
      </c>
    </row>
    <row r="85" spans="2:8" ht="55.2" customHeight="1" x14ac:dyDescent="0.3">
      <c r="B85" s="375" t="s">
        <v>1215</v>
      </c>
      <c r="C85" s="606" t="str">
        <f>"An equity freeze caps FY2031E AUM at about ₹"&amp;TEXT(C79,"#,##0")&amp;" Cr - "&amp;TEXT(C82,"0.0%")&amp;" of the ₹"&amp;TEXT(C80,"#,##0")&amp;" Cr plan - and costs roughly ₹"&amp;TEXT(C84,"#,##0")&amp;" Cr of FY2031E PAT. "&amp;"The constraint is absorbed by GROWTH, not by the capital ratio: PAT and required capital both scale with the book, so return per unit of capital is broadly unchanged. "&amp;"The board's real trade-off is franchise scale versus dilution, not profitability versus dilution. Under a freeze the levers are: tilt the mix to secured to lower the blended risk weight, or slow disbursement onto the fundable path."</f>
        <v>An equity freeze caps FY2031E AUM at about ₹1,43,056 Cr - 58.2% of the ₹2,46,012 Cr plan - and costs roughly ₹3,278 Cr of FY2031E PAT. The constraint is absorbed by GROWTH, not by the capital ratio: PAT and required capital both scale with the book, so return per unit of capital is broadly unchanged. The board's real trade-off is franchise scale versus dilution, not profitability versus dilution. Under a freeze the levers are: tilt the mix to secured to lower the blended risk weight, or slow disbursement onto the fundable path.</v>
      </c>
      <c r="D85" s="606"/>
      <c r="E85" s="606"/>
      <c r="F85" s="606"/>
      <c r="G85" s="606"/>
      <c r="H85" s="607"/>
    </row>
    <row r="86" spans="2:8" ht="33.6" customHeight="1" x14ac:dyDescent="0.3">
      <c r="B86" s="608" t="s">
        <v>1289</v>
      </c>
      <c r="C86" s="609"/>
      <c r="D86" s="609"/>
      <c r="E86" s="609"/>
      <c r="F86" s="609"/>
      <c r="G86" s="609"/>
      <c r="H86" s="610"/>
    </row>
    <row r="87" spans="2:8" x14ac:dyDescent="0.3">
      <c r="B87" s="368"/>
      <c r="C87" s="20"/>
    </row>
    <row r="88" spans="2:8" x14ac:dyDescent="0.3">
      <c r="B88" s="376" t="s">
        <v>1290</v>
      </c>
      <c r="C88" s="365"/>
      <c r="D88" s="365"/>
      <c r="E88" s="365"/>
      <c r="F88" s="365"/>
      <c r="G88" s="365"/>
      <c r="H88" s="366"/>
    </row>
    <row r="89" spans="2:8" x14ac:dyDescent="0.3">
      <c r="B89" s="368" t="s">
        <v>1291</v>
      </c>
      <c r="C89" s="369">
        <v>2500</v>
      </c>
    </row>
    <row r="90" spans="2:8" x14ac:dyDescent="0.3">
      <c r="B90" s="368" t="s">
        <v>1292</v>
      </c>
      <c r="C90" s="369">
        <f>C60/5</f>
        <v>3672.8522945225823</v>
      </c>
    </row>
    <row r="91" spans="2:8" x14ac:dyDescent="0.3">
      <c r="B91" s="368" t="s">
        <v>1293</v>
      </c>
      <c r="C91" s="377">
        <f>C90/C89</f>
        <v>1.4691409178090329</v>
      </c>
    </row>
    <row r="92" spans="2:8" ht="90" customHeight="1" x14ac:dyDescent="0.3">
      <c r="B92" s="378" t="s">
        <v>1294</v>
      </c>
      <c r="C92" s="595" t="str">
        <f>"The requirement averages ₹"&amp;TEXT(C90,"#,##0")&amp;" Cr a year for five consecutive years - "&amp;TEXT(C91,"0.00")&amp;"x the largest raise the Company has actually executed (the ₹"&amp;TEXT(C89,"#,##0")&amp;" Cr FY2026 QIP). "&amp;"That is demanding but not implausible for an NBFC-UL with this growth profile; it does, however, assume an open capital-market window in every one of those five years. "&amp;"NOT MODELLED HERE: QIP timing and pricing, promoter dilution, book-value and EPS dilution per tranche, maximum feasible issuance in a single window, or the growth-throttling response if a window closes. "&amp;"Until those are tested, ₹"&amp;TEXT(C60,"#,##0")&amp;" Cr is the capital REQUIREMENT the growth plan generates - it is not a funding plan, and the model does not claim capital is available on demand."</f>
        <v>The requirement averages ₹3,673 Cr a year for five consecutive years - 1.47x the largest raise the Company has actually executed (the ₹2,500 Cr FY2026 QIP). That is demanding but not implausible for an NBFC-UL with this growth profile; it does, however, assume an open capital-market window in every one of those five years. NOT MODELLED HERE: QIP timing and pricing, promoter dilution, book-value and EPS dilution per tranche, maximum feasible issuance in a single window, or the growth-throttling response if a window closes. Until those are tested, ₹18,364 Cr is the capital REQUIREMENT the growth plan generates - it is not a funding plan, and the model does not claim capital is available on demand.</v>
      </c>
      <c r="D92" s="595"/>
      <c r="E92" s="595"/>
      <c r="F92" s="595"/>
      <c r="G92" s="595"/>
      <c r="H92" s="596"/>
    </row>
    <row r="94" spans="2:8" x14ac:dyDescent="0.3">
      <c r="B94" s="349" t="s">
        <v>1365</v>
      </c>
      <c r="C94" s="1"/>
      <c r="D94" s="1"/>
      <c r="E94" s="1"/>
      <c r="F94" s="1"/>
      <c r="G94" s="1"/>
      <c r="H94" s="350"/>
    </row>
    <row r="95" spans="2:8" x14ac:dyDescent="0.3">
      <c r="B95" s="367" t="s">
        <v>1366</v>
      </c>
    </row>
    <row r="96" spans="2:8" x14ac:dyDescent="0.3">
      <c r="B96" s="368" t="s">
        <v>1367</v>
      </c>
      <c r="C96" s="99">
        <f>H41</f>
        <v>51898.574664218329</v>
      </c>
    </row>
    <row r="97" spans="2:10" x14ac:dyDescent="0.3">
      <c r="B97" s="368" t="s">
        <v>1368</v>
      </c>
      <c r="C97" s="379">
        <f>-C28</f>
        <v>-10348.24</v>
      </c>
    </row>
    <row r="98" spans="2:10" x14ac:dyDescent="0.3">
      <c r="B98" s="370" t="s">
        <v>1369</v>
      </c>
      <c r="C98" s="100">
        <f>C96+C97</f>
        <v>41550.334664218331</v>
      </c>
    </row>
    <row r="99" spans="2:10" x14ac:dyDescent="0.3">
      <c r="B99" s="367" t="s">
        <v>1370</v>
      </c>
    </row>
    <row r="100" spans="2:10" x14ac:dyDescent="0.3">
      <c r="B100" s="368" t="s">
        <v>1371</v>
      </c>
      <c r="C100" s="99">
        <f>(H24-C24)*$C$39</f>
        <v>32440.668124187705</v>
      </c>
    </row>
    <row r="101" spans="2:10" x14ac:dyDescent="0.3">
      <c r="B101" s="368" t="s">
        <v>1372</v>
      </c>
      <c r="C101" s="99">
        <f>(H25-C25)*$C$39</f>
        <v>6619.8899370408308</v>
      </c>
    </row>
    <row r="102" spans="2:10" x14ac:dyDescent="0.3">
      <c r="B102" s="368" t="s">
        <v>1373</v>
      </c>
      <c r="C102" s="99">
        <f>C41-C28</f>
        <v>2489.7766029897939</v>
      </c>
    </row>
    <row r="103" spans="2:10" x14ac:dyDescent="0.3">
      <c r="B103" s="368" t="s">
        <v>1374</v>
      </c>
      <c r="C103" s="380">
        <f>C100+C101+C102-C98</f>
        <v>0</v>
      </c>
    </row>
    <row r="104" spans="2:10" x14ac:dyDescent="0.3">
      <c r="B104" s="368" t="s">
        <v>1375</v>
      </c>
      <c r="C104" s="379">
        <f>-SUM(D46:H46)</f>
        <v>-23186.073191605417</v>
      </c>
    </row>
    <row r="105" spans="2:10" x14ac:dyDescent="0.3">
      <c r="B105" s="370" t="s">
        <v>1376</v>
      </c>
      <c r="C105" s="100">
        <f>C98+C104</f>
        <v>18364.261472612914</v>
      </c>
    </row>
    <row r="106" spans="2:10" x14ac:dyDescent="0.3">
      <c r="B106" s="368" t="s">
        <v>1377</v>
      </c>
      <c r="C106" s="380">
        <f>C105-C60</f>
        <v>0</v>
      </c>
    </row>
    <row r="107" spans="2:10" x14ac:dyDescent="0.3">
      <c r="B107" s="368"/>
    </row>
    <row r="108" spans="2:10" x14ac:dyDescent="0.3">
      <c r="B108" s="373" t="s">
        <v>1378</v>
      </c>
    </row>
    <row r="109" spans="2:10" x14ac:dyDescent="0.3">
      <c r="B109" s="309" t="s">
        <v>1379</v>
      </c>
      <c r="C109" s="317">
        <f>$C$39-0.02</f>
        <v>0.16</v>
      </c>
      <c r="D109" s="317">
        <f>$C$39-0.01</f>
        <v>0.16999999999999998</v>
      </c>
      <c r="E109" s="317">
        <f>$C$39</f>
        <v>0.18</v>
      </c>
      <c r="F109" s="317">
        <f>$C$39+0.01</f>
        <v>0.19</v>
      </c>
      <c r="G109" s="317">
        <f>$C$39+0.02</f>
        <v>0.19999999999999998</v>
      </c>
    </row>
    <row r="110" spans="2:10" x14ac:dyDescent="0.3">
      <c r="B110" s="309" t="s">
        <v>1380</v>
      </c>
      <c r="C110" s="318">
        <f>MAX($H$26*C109-$C$28+$C$104,0)</f>
        <v>12597.753176588656</v>
      </c>
      <c r="D110" s="318">
        <f>MAX($H$26*D109-$C$28+$C$104,0)</f>
        <v>15481.007324600785</v>
      </c>
      <c r="E110" s="319">
        <f>MAX($H$26*E109-$C$28+$C$104,0)</f>
        <v>18364.261472612914</v>
      </c>
      <c r="F110" s="318">
        <f>MAX($H$26*F109-$C$28+$C$104,0)</f>
        <v>21247.51562062505</v>
      </c>
      <c r="G110" s="318">
        <f>MAX($H$26*G109-$C$28+$C$104,0)</f>
        <v>24130.769768637172</v>
      </c>
    </row>
    <row r="111" spans="2:10" s="341" customFormat="1" ht="33.6" customHeight="1" x14ac:dyDescent="0.3">
      <c r="B111" s="602" t="str">
        <f>"Each 1 percentage point of target CRAR is worth about ₹"&amp;TEXT($H$26*0.01,"#,##0")&amp;" Cr of external equity. The "&amp;TEXT(C38,"0%")&amp;" management buffer above the "&amp;TEXT(C37,"0%")&amp;" regulatory minimum therefore accounts for ₹"&amp;TEXT($H$26*C38,"#,##0")&amp;" Cr of the ₹"&amp;TEXT(C60,"#,##0")&amp;" Cr "&amp;"- it is the single largest DISCRETIONARY item in the capital plan. At the bare regulatory minimum the requirement falls to ₹"&amp;TEXT(MAX($H$26*C37-$C$28+$C$104,0),"#,##0")&amp;" Cr."</f>
        <v>Each 1 percentage point of target CRAR is worth about ₹2,883 Cr of external equity. The 3% management buffer above the 15% regulatory minimum therefore accounts for ₹8,650 Cr of the ₹18,364 Cr - it is the single largest DISCRETIONARY item in the capital plan. At the bare regulatory minimum the requirement falls to ₹9,714 Cr.</v>
      </c>
      <c r="C111" s="603"/>
      <c r="D111" s="603"/>
      <c r="E111" s="603"/>
      <c r="F111" s="603"/>
      <c r="G111" s="603"/>
      <c r="H111" s="359"/>
      <c r="J111" s="727"/>
    </row>
    <row r="112" spans="2:10" s="341" customFormat="1" ht="33.6" customHeight="1" x14ac:dyDescent="0.3">
      <c r="B112" s="604" t="str">
        <f>"So the honest answer to ""why ₹18,364 Cr and not ₹15,000 Cr?"" is that ₹15,000 Cr corresponds to a "&amp;TEXT((15000+$C$28-$C$104)/$H$26,"0.0%")&amp;" target CRAR. "&amp;"The difference is a buffer POLICY choice of roughly "&amp;TEXT($C$39-(15000+$C$28-$C$104)/$H$26,"0.0%")&amp;", not a disagreement about growth or credit. Growth explains "&amp;TEXT(C100/C98,"0%")&amp;" of the capital build, operational risk "&amp;TEXT(C101/C98,"0%")&amp;", and the opening catch-up "&amp;TEXT(C102/C98,"0%")&amp;"."</f>
        <v>So the honest answer to "why ₹18,364 Cr and not ₹15,000 Cr?" is that ₹15,000 Cr corresponds to a 16.8% target CRAR. The difference is a buffer POLICY choice of roughly 1.2%, not a disagreement about growth or credit. Growth explains 78% of the capital build, operational risk 16%, and the opening catch-up 6%.</v>
      </c>
      <c r="C112" s="605"/>
      <c r="D112" s="605"/>
      <c r="E112" s="605"/>
      <c r="F112" s="605"/>
      <c r="G112" s="605"/>
      <c r="H112" s="439"/>
      <c r="J112" s="727"/>
    </row>
  </sheetData>
  <mergeCells count="37">
    <mergeCell ref="B1:H1"/>
    <mergeCell ref="B2:H2"/>
    <mergeCell ref="B20:H20"/>
    <mergeCell ref="B36:H36"/>
    <mergeCell ref="B51:H51"/>
    <mergeCell ref="B3:H3"/>
    <mergeCell ref="F5:H5"/>
    <mergeCell ref="F6:H6"/>
    <mergeCell ref="B4:H4"/>
    <mergeCell ref="F7:H7"/>
    <mergeCell ref="F8:H8"/>
    <mergeCell ref="F9:H9"/>
    <mergeCell ref="F10:H10"/>
    <mergeCell ref="F11:H11"/>
    <mergeCell ref="F12:H12"/>
    <mergeCell ref="F13:H13"/>
    <mergeCell ref="F14:H14"/>
    <mergeCell ref="F15:H15"/>
    <mergeCell ref="F16:H16"/>
    <mergeCell ref="F17:H17"/>
    <mergeCell ref="F18:H18"/>
    <mergeCell ref="D38:H38"/>
    <mergeCell ref="B111:G111"/>
    <mergeCell ref="B112:G112"/>
    <mergeCell ref="C92:H92"/>
    <mergeCell ref="C85:H85"/>
    <mergeCell ref="B86:H86"/>
    <mergeCell ref="C55:H55"/>
    <mergeCell ref="C61:H61"/>
    <mergeCell ref="B64:H64"/>
    <mergeCell ref="B65:H65"/>
    <mergeCell ref="B66:H66"/>
    <mergeCell ref="B67:H67"/>
    <mergeCell ref="B68:H68"/>
    <mergeCell ref="B69:H69"/>
    <mergeCell ref="B57:H57"/>
    <mergeCell ref="B63:H63"/>
  </mergeCells>
  <conditionalFormatting sqref="C44:H44">
    <cfRule type="containsText" dxfId="5" priority="1" operator="containsText" text="ABOVE">
      <formula>NOT(ISERROR(SEARCH("ABOVE",C44)))</formula>
    </cfRule>
    <cfRule type="containsText" dxfId="4" priority="2" operator="containsText" text="BELOW">
      <formula>NOT(ISERROR(SEARCH("BELOW",C44)))</formula>
    </cfRule>
    <cfRule type="containsText" dxfId="3" priority="3" operator="containsText" text="BREACH">
      <formula>NOT(ISERROR(SEARCH("BREACH",C44)))</formula>
    </cfRule>
  </conditionalFormatting>
  <hyperlinks>
    <hyperlink ref="L1" location="Home!A1" tooltip="Back to Home / Index" display="⌂ Home" xr:uid="{12EAF833-F89A-44FA-B249-2D1B92498435}"/>
  </hyperlinks>
  <pageMargins left="0.7" right="0.7" top="0.75" bottom="0.75" header="0.3" footer="0.3"/>
  <pageSetup scale="57" orientation="portrait" r:id="rId1"/>
  <colBreaks count="1" manualBreakCount="1">
    <brk id="8" max="1048575" man="1"/>
  </colBreaks>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F26E5-E241-45C0-BDE4-F922E8494BD1}">
  <sheetPr>
    <tabColor rgb="FFC6E0B4"/>
  </sheetPr>
  <dimension ref="B1:L11"/>
  <sheetViews>
    <sheetView showGridLines="0" workbookViewId="0">
      <selection activeCell="H3" sqref="H1:M1048576"/>
    </sheetView>
  </sheetViews>
  <sheetFormatPr defaultRowHeight="14.4" x14ac:dyDescent="0.3"/>
  <cols>
    <col min="1" max="1" width="1.77734375" customWidth="1"/>
    <col min="2" max="2" width="49.5546875" customWidth="1"/>
    <col min="3" max="8" width="12.77734375" customWidth="1"/>
    <col min="9" max="9" width="8.88671875" customWidth="1"/>
    <col min="10" max="10" width="77.77734375" customWidth="1"/>
    <col min="11" max="12" width="8.88671875" customWidth="1"/>
  </cols>
  <sheetData>
    <row r="1" spans="2:12" ht="24" customHeight="1" x14ac:dyDescent="0.3">
      <c r="B1" s="505" t="s">
        <v>551</v>
      </c>
      <c r="C1" s="549"/>
      <c r="D1" s="549"/>
      <c r="E1" s="549"/>
      <c r="F1" s="549"/>
      <c r="G1" s="549"/>
      <c r="H1" s="550"/>
      <c r="I1" s="195"/>
      <c r="J1" s="196"/>
      <c r="L1" s="269" t="s">
        <v>891</v>
      </c>
    </row>
    <row r="2" spans="2:12" ht="36" customHeight="1" x14ac:dyDescent="0.3">
      <c r="B2" s="508" t="s">
        <v>552</v>
      </c>
      <c r="C2" s="551"/>
      <c r="D2" s="551"/>
      <c r="E2" s="551"/>
      <c r="F2" s="551"/>
      <c r="G2" s="551"/>
      <c r="H2" s="552"/>
      <c r="I2" s="198"/>
      <c r="J2" s="199"/>
    </row>
    <row r="3" spans="2:12" x14ac:dyDescent="0.3">
      <c r="B3" s="26"/>
      <c r="H3" s="35"/>
      <c r="J3" s="35"/>
    </row>
    <row r="4" spans="2:12" ht="15" thickBot="1" x14ac:dyDescent="0.35">
      <c r="B4" s="47" t="s">
        <v>3</v>
      </c>
      <c r="C4" s="48" t="s">
        <v>256</v>
      </c>
      <c r="D4" s="49" t="s">
        <v>257</v>
      </c>
      <c r="E4" s="49" t="s">
        <v>258</v>
      </c>
      <c r="F4" s="49" t="s">
        <v>259</v>
      </c>
      <c r="G4" s="49" t="s">
        <v>260</v>
      </c>
      <c r="H4" s="50" t="s">
        <v>261</v>
      </c>
      <c r="I4" s="96"/>
      <c r="J4" s="110" t="s">
        <v>406</v>
      </c>
    </row>
    <row r="5" spans="2:12" x14ac:dyDescent="0.3">
      <c r="B5" s="26"/>
      <c r="H5" s="35"/>
      <c r="J5" s="93"/>
    </row>
    <row r="6" spans="2:12" x14ac:dyDescent="0.3">
      <c r="B6" s="26" t="s">
        <v>553</v>
      </c>
      <c r="D6" s="65">
        <f>C11</f>
        <v>427.23</v>
      </c>
      <c r="E6" s="65">
        <f>D11</f>
        <v>457.51170000000002</v>
      </c>
      <c r="F6" s="65">
        <f>E11</f>
        <v>513.72180150000008</v>
      </c>
      <c r="G6" s="65">
        <f>F11</f>
        <v>580.97744120000004</v>
      </c>
      <c r="H6" s="72">
        <f>G11</f>
        <v>654.78195296000001</v>
      </c>
      <c r="J6" s="93"/>
    </row>
    <row r="7" spans="2:12" ht="55.05" customHeight="1" x14ac:dyDescent="0.3">
      <c r="B7" s="26" t="s">
        <v>554</v>
      </c>
      <c r="D7" s="51">
        <v>120</v>
      </c>
      <c r="E7" s="51">
        <v>150</v>
      </c>
      <c r="F7" s="51">
        <v>170</v>
      </c>
      <c r="G7" s="51">
        <v>190</v>
      </c>
      <c r="H7" s="55">
        <v>210</v>
      </c>
      <c r="J7" s="94" t="s">
        <v>555</v>
      </c>
    </row>
    <row r="8" spans="2:12" ht="55.05" customHeight="1" x14ac:dyDescent="0.3">
      <c r="B8" s="26" t="s">
        <v>556</v>
      </c>
      <c r="C8" s="257">
        <v>0.2203</v>
      </c>
      <c r="D8" s="255">
        <v>0.21</v>
      </c>
      <c r="E8" s="255">
        <v>0.20499999999999999</v>
      </c>
      <c r="F8" s="255">
        <v>0.2</v>
      </c>
      <c r="G8" s="255">
        <v>0.2</v>
      </c>
      <c r="H8" s="256">
        <v>0.2</v>
      </c>
      <c r="J8" s="94" t="s">
        <v>557</v>
      </c>
    </row>
    <row r="9" spans="2:12" ht="45.6" customHeight="1" x14ac:dyDescent="0.3">
      <c r="B9" s="26" t="s">
        <v>558</v>
      </c>
      <c r="C9" s="65">
        <f>'Profit &amp; Loss'!H22</f>
        <v>94.14</v>
      </c>
      <c r="D9" s="65">
        <f>D6*D8</f>
        <v>89.718299999999999</v>
      </c>
      <c r="E9" s="65">
        <f>E6*E8</f>
        <v>93.789898499999993</v>
      </c>
      <c r="F9" s="65">
        <f>F6*F8</f>
        <v>102.74436030000003</v>
      </c>
      <c r="G9" s="65">
        <f>G6*G8</f>
        <v>116.19548824000002</v>
      </c>
      <c r="H9" s="72">
        <f>H6*H8</f>
        <v>130.95639059200002</v>
      </c>
      <c r="J9" s="35"/>
    </row>
    <row r="10" spans="2:12" x14ac:dyDescent="0.3">
      <c r="B10" s="26"/>
      <c r="H10" s="35"/>
      <c r="J10" s="35"/>
    </row>
    <row r="11" spans="2:12" x14ac:dyDescent="0.3">
      <c r="B11" s="213" t="s">
        <v>559</v>
      </c>
      <c r="C11" s="216">
        <f>'Balance Sheet'!H22+'Balance Sheet'!H26+'Balance Sheet'!H23+'Balance Sheet'!H25</f>
        <v>427.23</v>
      </c>
      <c r="D11" s="217">
        <f>D6+D7-D9</f>
        <v>457.51170000000002</v>
      </c>
      <c r="E11" s="217">
        <f>E6+E7-E9</f>
        <v>513.72180150000008</v>
      </c>
      <c r="F11" s="217">
        <f>F6+F7-F9</f>
        <v>580.97744120000004</v>
      </c>
      <c r="G11" s="217">
        <f>G6+G7-G9</f>
        <v>654.78195296000001</v>
      </c>
      <c r="H11" s="259">
        <f>H6+H7-H9</f>
        <v>733.82556236799996</v>
      </c>
      <c r="I11" s="24"/>
      <c r="J11" s="109"/>
    </row>
  </sheetData>
  <mergeCells count="2">
    <mergeCell ref="B1:H1"/>
    <mergeCell ref="B2:H2"/>
  </mergeCells>
  <hyperlinks>
    <hyperlink ref="L1" location="Home!A1" tooltip="Back to Home / Index" display="⌂ Home" xr:uid="{164D82C5-6D4D-40AC-B89D-041642639D4A}"/>
  </hyperlinks>
  <pageMargins left="0.25" right="0.25"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D9B9C-D454-4D54-A4C1-E2A06BA647DC}">
  <sheetPr>
    <tabColor rgb="FFB26B00"/>
  </sheetPr>
  <dimension ref="B2:F21"/>
  <sheetViews>
    <sheetView showGridLines="0" workbookViewId="0">
      <selection activeCell="D1" sqref="D1:G1048576"/>
    </sheetView>
  </sheetViews>
  <sheetFormatPr defaultRowHeight="14.4" x14ac:dyDescent="0.3"/>
  <cols>
    <col min="1" max="1" width="1.77734375" customWidth="1"/>
    <col min="2" max="2" width="11.109375" customWidth="1"/>
    <col min="3" max="3" width="55.5546875" customWidth="1"/>
    <col min="4" max="4" width="59.21875" customWidth="1"/>
    <col min="5" max="6" width="8.88671875" customWidth="1"/>
  </cols>
  <sheetData>
    <row r="2" spans="2:6" ht="40.049999999999997" customHeight="1" x14ac:dyDescent="0.3">
      <c r="B2" s="631" t="s">
        <v>1107</v>
      </c>
      <c r="C2" s="632" t="s">
        <v>1424</v>
      </c>
      <c r="D2" s="632"/>
      <c r="F2" s="269" t="s">
        <v>891</v>
      </c>
    </row>
    <row r="3" spans="2:6" ht="7.95" customHeight="1" x14ac:dyDescent="0.3">
      <c r="B3" s="631"/>
    </row>
    <row r="4" spans="2:6" ht="61.95" customHeight="1" x14ac:dyDescent="0.3">
      <c r="B4" s="631"/>
      <c r="C4" s="530" t="s">
        <v>1108</v>
      </c>
      <c r="D4" s="530"/>
    </row>
    <row r="6" spans="2:6" x14ac:dyDescent="0.3">
      <c r="B6" s="630" t="s">
        <v>1072</v>
      </c>
      <c r="C6" s="630"/>
      <c r="D6" s="630"/>
    </row>
    <row r="7" spans="2:6" x14ac:dyDescent="0.3">
      <c r="C7" s="526" t="s">
        <v>1109</v>
      </c>
      <c r="D7" s="526"/>
    </row>
    <row r="8" spans="2:6" x14ac:dyDescent="0.3">
      <c r="C8" s="526" t="s">
        <v>1110</v>
      </c>
      <c r="D8" s="526"/>
    </row>
    <row r="9" spans="2:6" x14ac:dyDescent="0.3">
      <c r="C9" s="526" t="s">
        <v>1111</v>
      </c>
      <c r="D9" s="526"/>
    </row>
    <row r="10" spans="2:6" x14ac:dyDescent="0.3">
      <c r="C10" s="526" t="s">
        <v>1112</v>
      </c>
      <c r="D10" s="526"/>
    </row>
    <row r="11" spans="2:6" x14ac:dyDescent="0.3">
      <c r="C11" s="526" t="s">
        <v>1113</v>
      </c>
      <c r="D11" s="526"/>
    </row>
    <row r="13" spans="2:6" x14ac:dyDescent="0.3">
      <c r="B13" s="630" t="s">
        <v>1077</v>
      </c>
      <c r="C13" s="630"/>
      <c r="D13" s="630"/>
    </row>
    <row r="14" spans="2:6" x14ac:dyDescent="0.3">
      <c r="B14" s="340" t="s">
        <v>1462</v>
      </c>
      <c r="C14" s="285" t="s">
        <v>869</v>
      </c>
      <c r="D14" s="285" t="s">
        <v>1078</v>
      </c>
    </row>
    <row r="15" spans="2:6" ht="24" x14ac:dyDescent="0.3">
      <c r="B15" s="435" t="s">
        <v>1446</v>
      </c>
      <c r="C15" s="294" t="s">
        <v>920</v>
      </c>
      <c r="D15" s="295" t="s">
        <v>1114</v>
      </c>
    </row>
    <row r="16" spans="2:6" x14ac:dyDescent="0.3">
      <c r="B16" s="435" t="s">
        <v>1447</v>
      </c>
      <c r="C16" s="294" t="s">
        <v>881</v>
      </c>
      <c r="D16" s="295" t="s">
        <v>1115</v>
      </c>
    </row>
    <row r="17" spans="2:4" ht="14.4" customHeight="1" x14ac:dyDescent="0.3">
      <c r="B17" s="435" t="s">
        <v>1448</v>
      </c>
      <c r="C17" s="294" t="s">
        <v>882</v>
      </c>
      <c r="D17" s="295" t="s">
        <v>1116</v>
      </c>
    </row>
    <row r="18" spans="2:4" x14ac:dyDescent="0.3">
      <c r="B18" s="435" t="s">
        <v>1449</v>
      </c>
      <c r="C18" s="294" t="s">
        <v>924</v>
      </c>
      <c r="D18" s="295" t="s">
        <v>1117</v>
      </c>
    </row>
    <row r="19" spans="2:4" x14ac:dyDescent="0.3">
      <c r="B19" s="435" t="s">
        <v>1450</v>
      </c>
      <c r="C19" s="294" t="s">
        <v>911</v>
      </c>
      <c r="D19" s="295" t="s">
        <v>1118</v>
      </c>
    </row>
    <row r="20" spans="2:4" ht="24" x14ac:dyDescent="0.3">
      <c r="B20" s="435" t="s">
        <v>1451</v>
      </c>
      <c r="C20" s="294" t="s">
        <v>880</v>
      </c>
      <c r="D20" s="295" t="s">
        <v>1119</v>
      </c>
    </row>
    <row r="21" spans="2:4" x14ac:dyDescent="0.3">
      <c r="B21" s="435" t="s">
        <v>1452</v>
      </c>
      <c r="C21" s="294" t="s">
        <v>879</v>
      </c>
      <c r="D21" s="295" t="s">
        <v>1120</v>
      </c>
    </row>
  </sheetData>
  <mergeCells count="10">
    <mergeCell ref="C9:D9"/>
    <mergeCell ref="C10:D10"/>
    <mergeCell ref="C11:D11"/>
    <mergeCell ref="B13:D13"/>
    <mergeCell ref="B2:B4"/>
    <mergeCell ref="C2:D2"/>
    <mergeCell ref="C4:D4"/>
    <mergeCell ref="B6:D6"/>
    <mergeCell ref="C7:D7"/>
    <mergeCell ref="C8:D8"/>
  </mergeCells>
  <hyperlinks>
    <hyperlink ref="C15" location="'Portfolio Mix'!A1" tooltip="Go to Portfolio Mix" display="Portfolio Mix" xr:uid="{567E9BB9-81AF-4202-A104-BF142D07B4ED}"/>
    <hyperlink ref="C16" location="'Product Profitability'!A1" tooltip="Go to Product Profitability" display="Product Profitability" xr:uid="{FE964B2D-2BF2-471E-B309-80F427575C28}"/>
    <hyperlink ref="C17" location="'Branch Profitability'!A1" tooltip="Go to Branch Profitability" display="Branch Profitability" xr:uid="{1C697D13-91BC-417C-B659-D426EC8DE949}"/>
    <hyperlink ref="C18" location="'Collections Analytics'!A1" tooltip="Go to Collections Analytics" display="Collections Analytics" xr:uid="{09C2FB00-7E29-4542-A7B0-1D767EE597F3}"/>
    <hyperlink ref="C19" location="'Digital Transformation'!A1" tooltip="Go to Digital Transformation" display="Digital Transformation" xr:uid="{AB5E00CE-B465-4D18-8515-3AF261C574C2}"/>
    <hyperlink ref="C20" location="'Enterprise Risk Cockpit'!A1" tooltip="Go to Enterprise Risk Cockpit" display="Enterprise Risk Cockpit" xr:uid="{4ACA04BC-CE64-4333-8D52-C1A4CF70BEE2}"/>
    <hyperlink ref="C21" location="'Scenario Analysis'!A1" tooltip="Go to Scenario Analysis" display="Scenario Analysis" xr:uid="{A5697A84-1477-496F-8036-2CF71D225198}"/>
    <hyperlink ref="F2" location="Home!A1" tooltip="Back to Home / Index" display="⌂ Home" xr:uid="{653A3FBE-E0DF-429F-A641-3493440F7226}"/>
  </hyperlinks>
  <pageMargins left="0.25" right="0.25"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CCB6-A20F-441F-94A8-9B9DA535E000}">
  <sheetPr>
    <tabColor rgb="FFFFD966"/>
  </sheetPr>
  <dimension ref="B1:K30"/>
  <sheetViews>
    <sheetView showGridLines="0" zoomScaleNormal="100" workbookViewId="0">
      <selection activeCell="I3" sqref="I1:L1048576"/>
    </sheetView>
  </sheetViews>
  <sheetFormatPr defaultRowHeight="14.4" x14ac:dyDescent="0.3"/>
  <cols>
    <col min="1" max="1" width="1.77734375" customWidth="1"/>
    <col min="2" max="2" width="38.88671875" customWidth="1"/>
    <col min="3" max="3" width="13.33203125" customWidth="1"/>
    <col min="4" max="4" width="12.109375" customWidth="1"/>
    <col min="5" max="5" width="13.44140625" customWidth="1"/>
    <col min="6" max="6" width="12.109375" customWidth="1"/>
    <col min="7" max="7" width="13.33203125" customWidth="1"/>
    <col min="8" max="8" width="13.109375" customWidth="1"/>
    <col min="9" max="9" width="22.88671875" customWidth="1"/>
    <col min="10" max="10" width="8.88671875" customWidth="1"/>
    <col min="11" max="11" width="1.88671875" customWidth="1"/>
  </cols>
  <sheetData>
    <row r="1" spans="2:11" ht="25.95" customHeight="1" x14ac:dyDescent="0.4">
      <c r="B1" s="517" t="s">
        <v>943</v>
      </c>
      <c r="C1" s="518"/>
      <c r="D1" s="518"/>
      <c r="E1" s="518"/>
      <c r="F1" s="518"/>
      <c r="G1" s="518"/>
      <c r="H1" s="518"/>
      <c r="I1" s="519"/>
      <c r="K1" s="269" t="s">
        <v>891</v>
      </c>
    </row>
    <row r="2" spans="2:11" ht="31.95" customHeight="1" x14ac:dyDescent="0.3">
      <c r="B2" s="619" t="s">
        <v>944</v>
      </c>
      <c r="C2" s="521"/>
      <c r="D2" s="521"/>
      <c r="E2" s="521"/>
      <c r="F2" s="521"/>
      <c r="G2" s="521"/>
      <c r="H2" s="521"/>
      <c r="I2" s="522"/>
    </row>
    <row r="3" spans="2:11" x14ac:dyDescent="0.3">
      <c r="B3" s="343"/>
      <c r="I3" s="356"/>
    </row>
    <row r="4" spans="2:11" s="382" customFormat="1" ht="28.8" x14ac:dyDescent="0.3">
      <c r="B4" s="440" t="s">
        <v>266</v>
      </c>
      <c r="C4" s="381" t="s">
        <v>945</v>
      </c>
      <c r="D4" s="381" t="s">
        <v>946</v>
      </c>
      <c r="E4" s="381" t="s">
        <v>947</v>
      </c>
      <c r="F4" s="381" t="s">
        <v>948</v>
      </c>
      <c r="G4" s="381" t="s">
        <v>806</v>
      </c>
      <c r="H4" s="381" t="s">
        <v>1262</v>
      </c>
      <c r="I4" s="441" t="s">
        <v>1295</v>
      </c>
    </row>
    <row r="5" spans="2:11" x14ac:dyDescent="0.3">
      <c r="B5" s="442" t="str">
        <f>'Product Profitability'!B8</f>
        <v>Loan Against Property (LAP)</v>
      </c>
      <c r="C5" s="281">
        <f>'Product Profitability'!D8</f>
        <v>16935</v>
      </c>
      <c r="D5" s="282">
        <f>'Product Profitability'!C8</f>
        <v>0.28062239013720419</v>
      </c>
      <c r="E5" s="282">
        <v>1.0004</v>
      </c>
      <c r="F5" s="282">
        <f>'Product Profitability'!E8</f>
        <v>0.10875</v>
      </c>
      <c r="G5" s="282">
        <f>'Product Profitability'!H8</f>
        <v>0.01</v>
      </c>
      <c r="H5" s="282">
        <f>'Product Profitability'!L8</f>
        <v>1.0740740740740776E-2</v>
      </c>
      <c r="I5" s="443" t="str">
        <f>IF(AND(H5&gt;$C$27,G5&lt;$C$28),"Expand",IF(H5&gt;$C$27,"Grow Selectively",IF(G5&gt;$C$29,"Review","Maintain")))</f>
        <v>Maintain</v>
      </c>
    </row>
    <row r="6" spans="2:11" x14ac:dyDescent="0.3">
      <c r="B6" s="442" t="str">
        <f>'Product Profitability'!B9</f>
        <v>Instant Consumer Loan</v>
      </c>
      <c r="C6" s="281">
        <f>'Product Profitability'!D9</f>
        <v>11197</v>
      </c>
      <c r="D6" s="282">
        <f>'Product Profitability'!C9</f>
        <v>0.18554053158348247</v>
      </c>
      <c r="E6" s="282">
        <v>0.68149999999999999</v>
      </c>
      <c r="F6" s="282">
        <f>'Product Profitability'!E9</f>
        <v>0.255</v>
      </c>
      <c r="G6" s="282">
        <f>'Product Profitability'!H9</f>
        <v>0.06</v>
      </c>
      <c r="H6" s="282">
        <f>'Product Profitability'!L9</f>
        <v>0.32311111111111135</v>
      </c>
      <c r="I6" s="443" t="str">
        <f t="shared" ref="I6:I15" si="0">IF(AND(H6&gt;$C$27,G6&lt;$C$28),"Expand",IF(H6&gt;$C$27,"Grow Selectively",IF(G6&gt;$C$29,"Review","Maintain")))</f>
        <v>Grow Selectively</v>
      </c>
    </row>
    <row r="7" spans="2:11" x14ac:dyDescent="0.3">
      <c r="B7" s="442" t="str">
        <f>'Product Profitability'!B10</f>
        <v>Pre-Owned Car Finance (POC)</v>
      </c>
      <c r="C7" s="281">
        <f>'Product Profitability'!D10</f>
        <v>9245</v>
      </c>
      <c r="D7" s="282">
        <f>'Product Profitability'!C10</f>
        <v>0.15319480347318884</v>
      </c>
      <c r="E7" s="282">
        <v>0.42780000000000001</v>
      </c>
      <c r="F7" s="282">
        <f>'Product Profitability'!E10</f>
        <v>0.14000000000000001</v>
      </c>
      <c r="G7" s="282">
        <f>'Product Profitability'!H10</f>
        <v>1.4999999999999999E-2</v>
      </c>
      <c r="H7" s="282">
        <f>'Product Profitability'!L10</f>
        <v>0.12611111111111123</v>
      </c>
      <c r="I7" s="443" t="str">
        <f t="shared" si="0"/>
        <v>Maintain</v>
      </c>
    </row>
    <row r="8" spans="2:11" x14ac:dyDescent="0.3">
      <c r="B8" s="442" t="str">
        <f>'Product Profitability'!B11</f>
        <v>Business Loan</v>
      </c>
      <c r="C8" s="281">
        <f>'Product Profitability'!D11</f>
        <v>7303</v>
      </c>
      <c r="D8" s="282">
        <f>'Product Profitability'!C11</f>
        <v>0.12101478093723073</v>
      </c>
      <c r="E8" s="282">
        <v>0.27500000000000002</v>
      </c>
      <c r="F8" s="282">
        <f>'Product Profitability'!E11</f>
        <v>0.19500000000000001</v>
      </c>
      <c r="G8" s="282">
        <f>'Product Profitability'!H11</f>
        <v>3.5000000000000003E-2</v>
      </c>
      <c r="H8" s="282">
        <f>'Product Profitability'!L11</f>
        <v>0.37555555555555559</v>
      </c>
      <c r="I8" s="443" t="str">
        <f t="shared" si="0"/>
        <v>Grow Selectively</v>
      </c>
    </row>
    <row r="9" spans="2:11" x14ac:dyDescent="0.3">
      <c r="B9" s="442" t="str">
        <f>'Product Profitability'!B12</f>
        <v>Prime Personal Loan</v>
      </c>
      <c r="C9" s="281">
        <f>'Product Profitability'!D12</f>
        <v>4802</v>
      </c>
      <c r="D9" s="282">
        <f>'Product Profitability'!C12</f>
        <v>7.9571816795917016E-2</v>
      </c>
      <c r="E9" s="271"/>
      <c r="F9" s="282">
        <f>'Product Profitability'!E12</f>
        <v>0.13</v>
      </c>
      <c r="G9" s="282">
        <f>'Product Profitability'!H12</f>
        <v>0.02</v>
      </c>
      <c r="H9" s="282">
        <f>'Product Profitability'!L12</f>
        <v>3.4222222222222265E-2</v>
      </c>
      <c r="I9" s="443" t="str">
        <f t="shared" si="0"/>
        <v>Maintain</v>
      </c>
    </row>
    <row r="10" spans="2:11" x14ac:dyDescent="0.3">
      <c r="B10" s="442" t="str">
        <f>'Product Profitability'!B13</f>
        <v>Gold Loan</v>
      </c>
      <c r="C10" s="281">
        <f>'Product Profitability'!D13</f>
        <v>1299</v>
      </c>
      <c r="D10" s="282">
        <f>'Product Profitability'!C13</f>
        <v>2.1525154106184132E-2</v>
      </c>
      <c r="E10" s="271"/>
      <c r="F10" s="282">
        <f>'Product Profitability'!E13</f>
        <v>0.12</v>
      </c>
      <c r="G10" s="282">
        <f>'Product Profitability'!H13</f>
        <v>4.0000000000000001E-3</v>
      </c>
      <c r="H10" s="282">
        <f>'Product Profitability'!L13</f>
        <v>2.0555555555555546E-2</v>
      </c>
      <c r="I10" s="443" t="str">
        <f t="shared" si="0"/>
        <v>Maintain</v>
      </c>
    </row>
    <row r="11" spans="2:11" x14ac:dyDescent="0.3">
      <c r="B11" s="442" t="str">
        <f>'Product Profitability'!B14</f>
        <v>Commercial Vehicle Loan</v>
      </c>
      <c r="C11" s="281">
        <f>'Product Profitability'!D14</f>
        <v>939</v>
      </c>
      <c r="D11" s="282">
        <f>'Product Profitability'!C14</f>
        <v>1.5559753430105388E-2</v>
      </c>
      <c r="E11" s="271"/>
      <c r="F11" s="282">
        <f>'Product Profitability'!E14</f>
        <v>0.13500000000000001</v>
      </c>
      <c r="G11" s="282">
        <f>'Product Profitability'!H14</f>
        <v>1.7999999999999999E-2</v>
      </c>
      <c r="H11" s="282">
        <f>'Product Profitability'!L14</f>
        <v>5.3888888888888986E-2</v>
      </c>
      <c r="I11" s="443" t="str">
        <f t="shared" si="0"/>
        <v>Maintain</v>
      </c>
    </row>
    <row r="12" spans="2:11" x14ac:dyDescent="0.3">
      <c r="B12" s="442" t="str">
        <f>'Product Profitability'!B15</f>
        <v>Education Loan</v>
      </c>
      <c r="C12" s="281">
        <f>'Product Profitability'!D15</f>
        <v>876</v>
      </c>
      <c r="D12" s="282">
        <f>'Product Profitability'!C15</f>
        <v>1.4515808311791608E-2</v>
      </c>
      <c r="E12" s="271"/>
      <c r="F12" s="282">
        <f>'Product Profitability'!E15</f>
        <v>0.115</v>
      </c>
      <c r="G12" s="282">
        <f>'Product Profitability'!H15</f>
        <v>8.0000000000000002E-3</v>
      </c>
      <c r="H12" s="282">
        <f>'Product Profitability'!L15</f>
        <v>2.6111111111111165E-2</v>
      </c>
      <c r="I12" s="443" t="str">
        <f t="shared" si="0"/>
        <v>Maintain</v>
      </c>
    </row>
    <row r="13" spans="2:11" x14ac:dyDescent="0.3">
      <c r="B13" s="442" t="str">
        <f>'Product Profitability'!B16</f>
        <v>Machinery &amp; Medical Equipment Loan</v>
      </c>
      <c r="C13" s="281">
        <f>'Product Profitability'!D16</f>
        <v>783</v>
      </c>
      <c r="D13" s="282">
        <f>'Product Profitability'!C16</f>
        <v>1.2974746470471267E-2</v>
      </c>
      <c r="E13" s="271"/>
      <c r="F13" s="282">
        <f>'Product Profitability'!E16</f>
        <v>0.11749999999999999</v>
      </c>
      <c r="G13" s="282">
        <f>'Product Profitability'!H16</f>
        <v>0.01</v>
      </c>
      <c r="H13" s="282">
        <f>'Product Profitability'!L16</f>
        <v>2.8888888888888877E-2</v>
      </c>
      <c r="I13" s="443" t="str">
        <f t="shared" si="0"/>
        <v>Maintain</v>
      </c>
    </row>
    <row r="14" spans="2:11" x14ac:dyDescent="0.3">
      <c r="B14" s="442" t="str">
        <f>'Product Profitability'!B17</f>
        <v>Professional Loan</v>
      </c>
      <c r="C14" s="281">
        <f>'Product Profitability'!D17</f>
        <v>787</v>
      </c>
      <c r="D14" s="282">
        <f>'Product Profitability'!C17</f>
        <v>1.3041028700205475E-2</v>
      </c>
      <c r="E14" s="271"/>
      <c r="F14" s="282">
        <f>'Product Profitability'!E17</f>
        <v>0.14000000000000001</v>
      </c>
      <c r="G14" s="282">
        <f>'Product Profitability'!H17</f>
        <v>0.02</v>
      </c>
      <c r="H14" s="282">
        <f>'Product Profitability'!L17</f>
        <v>5.6444444444444533E-2</v>
      </c>
      <c r="I14" s="443" t="str">
        <f t="shared" si="0"/>
        <v>Maintain</v>
      </c>
    </row>
    <row r="15" spans="2:11" x14ac:dyDescent="0.3">
      <c r="B15" s="442" t="str">
        <f>'Product Profitability'!B18</f>
        <v>Consumer Durable Loan</v>
      </c>
      <c r="C15" s="281">
        <f>'Product Profitability'!D18</f>
        <v>382</v>
      </c>
      <c r="D15" s="282">
        <f>'Product Profitability'!C18</f>
        <v>6.3299529396168884E-3</v>
      </c>
      <c r="E15" s="271"/>
      <c r="F15" s="282">
        <f>'Product Profitability'!E18</f>
        <v>0.2</v>
      </c>
      <c r="G15" s="282">
        <f>'Product Profitability'!H18</f>
        <v>0.03</v>
      </c>
      <c r="H15" s="282">
        <f>'Product Profitability'!L18</f>
        <v>0.23422222222222236</v>
      </c>
      <c r="I15" s="443" t="str">
        <f t="shared" si="0"/>
        <v>Grow Selectively</v>
      </c>
    </row>
    <row r="16" spans="2:11" x14ac:dyDescent="0.3">
      <c r="B16" s="442" t="str">
        <f>'Product Profitability'!B20</f>
        <v>Other / Legacy Portfolio (reconciling)</v>
      </c>
      <c r="C16" s="281">
        <f>'Product Profitability'!D20</f>
        <v>5799</v>
      </c>
      <c r="D16" s="282">
        <f>'Product Profitability'!C20</f>
        <v>9.6092662557168418E-2</v>
      </c>
      <c r="E16" s="271"/>
      <c r="F16" s="282">
        <f>'Product Profitability'!E20</f>
        <v>0.15</v>
      </c>
      <c r="G16" s="282">
        <f>'Product Profitability'!H20</f>
        <v>1.7999999999999999E-2</v>
      </c>
      <c r="H16" s="282">
        <f>'Product Profitability'!L20</f>
        <v>0.16500000000000001</v>
      </c>
      <c r="I16" s="444"/>
    </row>
    <row r="17" spans="2:9" x14ac:dyDescent="0.3">
      <c r="B17" s="445" t="s">
        <v>743</v>
      </c>
      <c r="C17" s="283">
        <f>SUM(C5:C16)</f>
        <v>60347</v>
      </c>
      <c r="D17" s="284">
        <f>SUM(D5:D16)</f>
        <v>0.99998342944256635</v>
      </c>
      <c r="E17" s="271"/>
      <c r="F17" s="271"/>
      <c r="G17" s="271"/>
      <c r="H17" s="271"/>
      <c r="I17" s="444"/>
    </row>
    <row r="18" spans="2:9" x14ac:dyDescent="0.3">
      <c r="B18" s="343"/>
      <c r="I18" s="356"/>
    </row>
    <row r="19" spans="2:9" x14ac:dyDescent="0.3">
      <c r="B19" s="620" t="s">
        <v>949</v>
      </c>
      <c r="C19" s="524"/>
      <c r="D19" s="524"/>
      <c r="E19" s="524"/>
      <c r="F19" s="524"/>
      <c r="G19" s="524"/>
      <c r="H19" s="524"/>
      <c r="I19" s="525"/>
    </row>
    <row r="20" spans="2:9" x14ac:dyDescent="0.3">
      <c r="B20" s="343" t="s">
        <v>950</v>
      </c>
      <c r="C20" s="446">
        <f>'KPIs &amp; Ratios'!H38</f>
        <v>0.54</v>
      </c>
      <c r="I20" s="356"/>
    </row>
    <row r="21" spans="2:9" x14ac:dyDescent="0.3">
      <c r="B21" s="343" t="s">
        <v>951</v>
      </c>
      <c r="C21" s="446">
        <f>'KPIs &amp; Ratios'!H39</f>
        <v>0.45999999999999996</v>
      </c>
      <c r="I21" s="356"/>
    </row>
    <row r="22" spans="2:9" x14ac:dyDescent="0.3">
      <c r="B22" s="343" t="s">
        <v>952</v>
      </c>
      <c r="C22" t="str">
        <f>'Business Performance Scorecard'!C201</f>
        <v>53% secured : 47% unsecured</v>
      </c>
      <c r="I22" s="356"/>
    </row>
    <row r="23" spans="2:9" x14ac:dyDescent="0.3">
      <c r="B23" s="343" t="s">
        <v>953</v>
      </c>
      <c r="C23" t="str">
        <f>'Business Performance Scorecard'!C206</f>
        <v>50% secured : 50% unsecured</v>
      </c>
      <c r="I23" s="356"/>
    </row>
    <row r="24" spans="2:9" x14ac:dyDescent="0.3">
      <c r="B24" s="343" t="s">
        <v>954</v>
      </c>
      <c r="C24" s="446">
        <v>0.14000000000000001</v>
      </c>
      <c r="I24" s="356"/>
    </row>
    <row r="25" spans="2:9" x14ac:dyDescent="0.3">
      <c r="B25" s="343"/>
      <c r="I25" s="356"/>
    </row>
    <row r="26" spans="2:9" x14ac:dyDescent="0.3">
      <c r="B26" s="343" t="s">
        <v>1296</v>
      </c>
      <c r="I26" s="356"/>
    </row>
    <row r="27" spans="2:9" x14ac:dyDescent="0.3">
      <c r="B27" s="343" t="s">
        <v>1297</v>
      </c>
      <c r="C27" s="383">
        <v>0.15</v>
      </c>
      <c r="I27" s="356"/>
    </row>
    <row r="28" spans="2:9" x14ac:dyDescent="0.3">
      <c r="B28" s="343" t="s">
        <v>1298</v>
      </c>
      <c r="C28" s="383">
        <v>1.4999999999999999E-2</v>
      </c>
      <c r="I28" s="356"/>
    </row>
    <row r="29" spans="2:9" x14ac:dyDescent="0.3">
      <c r="B29" s="343" t="s">
        <v>1299</v>
      </c>
      <c r="C29" s="383">
        <v>2.5000000000000001E-2</v>
      </c>
      <c r="I29" s="356"/>
    </row>
    <row r="30" spans="2:9" ht="44.4" customHeight="1" x14ac:dyDescent="0.3">
      <c r="B30" s="633" t="s">
        <v>1300</v>
      </c>
      <c r="C30" s="634"/>
      <c r="D30" s="634"/>
      <c r="E30" s="634"/>
      <c r="F30" s="634"/>
      <c r="G30" s="634"/>
      <c r="H30" s="634"/>
      <c r="I30" s="635"/>
    </row>
  </sheetData>
  <mergeCells count="4">
    <mergeCell ref="B1:I1"/>
    <mergeCell ref="B2:I2"/>
    <mergeCell ref="B19:I19"/>
    <mergeCell ref="B30:I30"/>
  </mergeCells>
  <hyperlinks>
    <hyperlink ref="K1" location="Home!A1" tooltip="Back to Home / Index" display="⌂ Home" xr:uid="{9BCC6744-37D0-4A93-AEF0-BA2B5534F9CE}"/>
  </hyperlinks>
  <pageMargins left="0.25" right="0.25" top="0.75" bottom="0.75" header="0.3" footer="0.3"/>
  <pageSetup scale="93"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E20E-BF14-4ABF-BE74-671223B1D301}">
  <sheetPr>
    <tabColor rgb="FFFFD966"/>
  </sheetPr>
  <dimension ref="B1:N31"/>
  <sheetViews>
    <sheetView showGridLines="0" view="pageBreakPreview" zoomScale="60" zoomScaleNormal="100" workbookViewId="0">
      <selection activeCell="L3" sqref="L1:O1048576"/>
    </sheetView>
  </sheetViews>
  <sheetFormatPr defaultRowHeight="14.4" x14ac:dyDescent="0.3"/>
  <cols>
    <col min="1" max="1" width="1.77734375" customWidth="1"/>
    <col min="2" max="2" width="32.33203125" customWidth="1"/>
    <col min="3" max="3" width="9.44140625" customWidth="1"/>
    <col min="4" max="4" width="18.21875" bestFit="1" customWidth="1"/>
    <col min="5" max="5" width="29.6640625" bestFit="1" customWidth="1"/>
    <col min="6" max="6" width="15.6640625" bestFit="1" customWidth="1"/>
    <col min="7" max="12" width="9.44140625" customWidth="1"/>
    <col min="13" max="14" width="8.88671875" customWidth="1"/>
  </cols>
  <sheetData>
    <row r="1" spans="2:14" ht="24" customHeight="1" x14ac:dyDescent="0.3">
      <c r="B1" s="636" t="s">
        <v>580</v>
      </c>
      <c r="C1" s="637"/>
      <c r="D1" s="637"/>
      <c r="E1" s="637"/>
      <c r="F1" s="637"/>
      <c r="G1" s="637"/>
      <c r="H1" s="637"/>
      <c r="I1" s="637"/>
      <c r="J1" s="637"/>
      <c r="K1" s="637"/>
      <c r="L1" s="638"/>
      <c r="N1" s="269" t="s">
        <v>891</v>
      </c>
    </row>
    <row r="2" spans="2:14" ht="36" customHeight="1" x14ac:dyDescent="0.3">
      <c r="B2" s="582" t="s">
        <v>1255</v>
      </c>
      <c r="C2" s="583"/>
      <c r="D2" s="583"/>
      <c r="E2" s="583"/>
      <c r="F2" s="583"/>
      <c r="G2" s="583"/>
      <c r="H2" s="583"/>
      <c r="I2" s="583"/>
      <c r="J2" s="583"/>
      <c r="K2" s="583"/>
      <c r="L2" s="584"/>
    </row>
    <row r="3" spans="2:14" ht="24" customHeight="1" x14ac:dyDescent="0.3">
      <c r="B3" s="511" t="s">
        <v>581</v>
      </c>
      <c r="C3" s="648"/>
      <c r="D3" s="648"/>
      <c r="E3" s="648"/>
      <c r="F3" s="648"/>
      <c r="G3" s="648"/>
      <c r="H3" s="648"/>
      <c r="I3" s="648"/>
      <c r="J3" s="648"/>
      <c r="L3" s="35"/>
    </row>
    <row r="4" spans="2:14" x14ac:dyDescent="0.3">
      <c r="B4" s="26"/>
      <c r="L4" s="35"/>
    </row>
    <row r="5" spans="2:14" x14ac:dyDescent="0.3">
      <c r="B5" s="26" t="s">
        <v>567</v>
      </c>
      <c r="C5" s="17">
        <f>'Business Performance Scorecard'!H161</f>
        <v>60348</v>
      </c>
      <c r="L5" s="35"/>
    </row>
    <row r="6" spans="2:14" x14ac:dyDescent="0.3">
      <c r="B6" s="26"/>
      <c r="L6" s="35"/>
    </row>
    <row r="7" spans="2:14" ht="42" customHeight="1" thickBot="1" x14ac:dyDescent="0.35">
      <c r="B7" s="130" t="s">
        <v>266</v>
      </c>
      <c r="C7" s="131" t="s">
        <v>582</v>
      </c>
      <c r="D7" s="131" t="s">
        <v>583</v>
      </c>
      <c r="E7" s="131" t="s">
        <v>584</v>
      </c>
      <c r="F7" s="131" t="s">
        <v>268</v>
      </c>
      <c r="G7" s="131" t="s">
        <v>269</v>
      </c>
      <c r="H7" s="131" t="s">
        <v>270</v>
      </c>
      <c r="I7" s="131" t="s">
        <v>271</v>
      </c>
      <c r="J7" s="131" t="s">
        <v>272</v>
      </c>
      <c r="K7" s="131" t="s">
        <v>1233</v>
      </c>
      <c r="L7" s="132" t="s">
        <v>1256</v>
      </c>
    </row>
    <row r="8" spans="2:14" x14ac:dyDescent="0.3">
      <c r="B8" s="26" t="s">
        <v>273</v>
      </c>
      <c r="C8" s="374">
        <f t="shared" ref="C8:C20" si="0">D8/$D$21</f>
        <v>0.28062239013720419</v>
      </c>
      <c r="D8" s="15">
        <v>16935</v>
      </c>
      <c r="E8" s="383">
        <v>0.10875</v>
      </c>
      <c r="F8" s="98">
        <v>7.7299999999999994E-2</v>
      </c>
      <c r="G8" s="98">
        <v>0.02</v>
      </c>
      <c r="H8" s="98">
        <v>0.01</v>
      </c>
      <c r="I8" s="66">
        <f t="shared" ref="I8:I20" si="1">E8-F8-G8-H8</f>
        <v>1.4500000000000051E-3</v>
      </c>
      <c r="J8" s="65">
        <f t="shared" ref="J8:J20" si="2">D8*I8</f>
        <v>24.555750000000085</v>
      </c>
      <c r="K8" s="374">
        <f>'Regulatory Capital'!D6*'Regulatory Capital'!$C$39</f>
        <v>0.13500000000000001</v>
      </c>
      <c r="L8" s="71">
        <f t="shared" ref="L8:L21" si="3">IFERROR(J8/(D8*K8),"")</f>
        <v>1.0740740740740776E-2</v>
      </c>
    </row>
    <row r="9" spans="2:14" x14ac:dyDescent="0.3">
      <c r="B9" s="26" t="s">
        <v>585</v>
      </c>
      <c r="C9" s="374">
        <f t="shared" si="0"/>
        <v>0.18554053158348247</v>
      </c>
      <c r="D9" s="15">
        <v>11197</v>
      </c>
      <c r="E9" s="383">
        <v>0.255</v>
      </c>
      <c r="F9" s="98">
        <v>7.7299999999999994E-2</v>
      </c>
      <c r="G9" s="98">
        <v>4.4999999999999998E-2</v>
      </c>
      <c r="H9" s="98">
        <v>0.06</v>
      </c>
      <c r="I9" s="66">
        <f t="shared" si="1"/>
        <v>7.2700000000000042E-2</v>
      </c>
      <c r="J9" s="65">
        <f t="shared" si="2"/>
        <v>814.02190000000053</v>
      </c>
      <c r="K9" s="374">
        <f>'Regulatory Capital'!D7*'Regulatory Capital'!$C$39</f>
        <v>0.22499999999999998</v>
      </c>
      <c r="L9" s="71">
        <f t="shared" si="3"/>
        <v>0.32311111111111135</v>
      </c>
    </row>
    <row r="10" spans="2:14" x14ac:dyDescent="0.3">
      <c r="B10" s="26" t="s">
        <v>586</v>
      </c>
      <c r="C10" s="374">
        <f t="shared" si="0"/>
        <v>0.15319480347318884</v>
      </c>
      <c r="D10" s="15">
        <v>9245</v>
      </c>
      <c r="E10" s="98">
        <v>0.14000000000000001</v>
      </c>
      <c r="F10" s="98">
        <v>7.7299999999999994E-2</v>
      </c>
      <c r="G10" s="98">
        <v>2.5000000000000001E-2</v>
      </c>
      <c r="H10" s="98">
        <v>1.4999999999999999E-2</v>
      </c>
      <c r="I10" s="66">
        <f t="shared" si="1"/>
        <v>2.2700000000000019E-2</v>
      </c>
      <c r="J10" s="65">
        <f t="shared" si="2"/>
        <v>209.86150000000018</v>
      </c>
      <c r="K10" s="374">
        <f>'Regulatory Capital'!D8*'Regulatory Capital'!$C$39</f>
        <v>0.18</v>
      </c>
      <c r="L10" s="71">
        <f t="shared" si="3"/>
        <v>0.12611111111111123</v>
      </c>
    </row>
    <row r="11" spans="2:14" x14ac:dyDescent="0.3">
      <c r="B11" s="26" t="s">
        <v>587</v>
      </c>
      <c r="C11" s="374">
        <f t="shared" si="0"/>
        <v>0.12101478093723073</v>
      </c>
      <c r="D11" s="15">
        <v>7303</v>
      </c>
      <c r="E11" s="383">
        <v>0.19500000000000001</v>
      </c>
      <c r="F11" s="98">
        <v>7.7299999999999994E-2</v>
      </c>
      <c r="G11" s="98">
        <v>3.2000000000000001E-2</v>
      </c>
      <c r="H11" s="98">
        <v>3.5000000000000003E-2</v>
      </c>
      <c r="I11" s="66">
        <f t="shared" si="1"/>
        <v>5.0700000000000009E-2</v>
      </c>
      <c r="J11" s="65">
        <f t="shared" si="2"/>
        <v>370.26210000000009</v>
      </c>
      <c r="K11" s="374">
        <f>'Regulatory Capital'!D9*'Regulatory Capital'!$C$39</f>
        <v>0.13500000000000001</v>
      </c>
      <c r="L11" s="71">
        <f t="shared" si="3"/>
        <v>0.37555555555555559</v>
      </c>
    </row>
    <row r="12" spans="2:14" x14ac:dyDescent="0.3">
      <c r="B12" s="26" t="s">
        <v>588</v>
      </c>
      <c r="C12" s="374">
        <f t="shared" si="0"/>
        <v>7.9571816795917016E-2</v>
      </c>
      <c r="D12" s="15">
        <v>4802</v>
      </c>
      <c r="E12" s="383">
        <v>0.13</v>
      </c>
      <c r="F12" s="98">
        <v>7.7299999999999994E-2</v>
      </c>
      <c r="G12" s="98">
        <v>2.5000000000000001E-2</v>
      </c>
      <c r="H12" s="98">
        <v>0.02</v>
      </c>
      <c r="I12" s="66">
        <f t="shared" si="1"/>
        <v>7.7000000000000089E-3</v>
      </c>
      <c r="J12" s="65">
        <f t="shared" si="2"/>
        <v>36.975400000000043</v>
      </c>
      <c r="K12" s="374">
        <f>'Regulatory Capital'!D10*'Regulatory Capital'!$C$39</f>
        <v>0.22499999999999998</v>
      </c>
      <c r="L12" s="71">
        <f t="shared" si="3"/>
        <v>3.4222222222222265E-2</v>
      </c>
    </row>
    <row r="13" spans="2:14" x14ac:dyDescent="0.3">
      <c r="B13" s="26" t="s">
        <v>274</v>
      </c>
      <c r="C13" s="374">
        <f t="shared" si="0"/>
        <v>2.1525154106184132E-2</v>
      </c>
      <c r="D13" s="15">
        <v>1299</v>
      </c>
      <c r="E13" s="98">
        <v>0.12</v>
      </c>
      <c r="F13" s="98">
        <v>7.7299999999999994E-2</v>
      </c>
      <c r="G13" s="98">
        <v>3.5000000000000003E-2</v>
      </c>
      <c r="H13" s="98">
        <v>4.0000000000000001E-3</v>
      </c>
      <c r="I13" s="66">
        <f t="shared" si="1"/>
        <v>3.6999999999999984E-3</v>
      </c>
      <c r="J13" s="65">
        <f t="shared" si="2"/>
        <v>4.8062999999999976</v>
      </c>
      <c r="K13" s="374">
        <f>'Regulatory Capital'!D11*'Regulatory Capital'!$C$39</f>
        <v>0.18</v>
      </c>
      <c r="L13" s="71">
        <f t="shared" si="3"/>
        <v>2.0555555555555546E-2</v>
      </c>
    </row>
    <row r="14" spans="2:14" x14ac:dyDescent="0.3">
      <c r="B14" s="26" t="s">
        <v>589</v>
      </c>
      <c r="C14" s="374">
        <f t="shared" si="0"/>
        <v>1.5559753430105388E-2</v>
      </c>
      <c r="D14" s="15">
        <v>939</v>
      </c>
      <c r="E14" s="98">
        <v>0.13500000000000001</v>
      </c>
      <c r="F14" s="98">
        <v>7.7299999999999994E-2</v>
      </c>
      <c r="G14" s="98">
        <v>0.03</v>
      </c>
      <c r="H14" s="98">
        <v>1.7999999999999999E-2</v>
      </c>
      <c r="I14" s="66">
        <f t="shared" si="1"/>
        <v>9.7000000000000176E-3</v>
      </c>
      <c r="J14" s="65">
        <f t="shared" si="2"/>
        <v>9.1083000000000158</v>
      </c>
      <c r="K14" s="374">
        <f>'Regulatory Capital'!D12*'Regulatory Capital'!$C$39</f>
        <v>0.18</v>
      </c>
      <c r="L14" s="71">
        <f t="shared" si="3"/>
        <v>5.3888888888888986E-2</v>
      </c>
    </row>
    <row r="15" spans="2:14" x14ac:dyDescent="0.3">
      <c r="B15" s="26" t="s">
        <v>276</v>
      </c>
      <c r="C15" s="374">
        <f t="shared" si="0"/>
        <v>1.4515808311791608E-2</v>
      </c>
      <c r="D15" s="15">
        <v>876</v>
      </c>
      <c r="E15" s="98">
        <v>0.115</v>
      </c>
      <c r="F15" s="98">
        <v>7.7299999999999994E-2</v>
      </c>
      <c r="G15" s="98">
        <v>2.5000000000000001E-2</v>
      </c>
      <c r="H15" s="98">
        <v>8.0000000000000002E-3</v>
      </c>
      <c r="I15" s="66">
        <f t="shared" si="1"/>
        <v>4.7000000000000097E-3</v>
      </c>
      <c r="J15" s="65">
        <f t="shared" si="2"/>
        <v>4.1172000000000084</v>
      </c>
      <c r="K15" s="374">
        <f>'Regulatory Capital'!D13*'Regulatory Capital'!$C$39</f>
        <v>0.18</v>
      </c>
      <c r="L15" s="71">
        <f t="shared" si="3"/>
        <v>2.6111111111111165E-2</v>
      </c>
    </row>
    <row r="16" spans="2:14" x14ac:dyDescent="0.3">
      <c r="B16" s="26" t="s">
        <v>590</v>
      </c>
      <c r="C16" s="374">
        <f t="shared" si="0"/>
        <v>1.2974746470471267E-2</v>
      </c>
      <c r="D16" s="15">
        <v>783</v>
      </c>
      <c r="E16" s="383">
        <v>0.11749999999999999</v>
      </c>
      <c r="F16" s="98">
        <v>7.7299999999999994E-2</v>
      </c>
      <c r="G16" s="98">
        <v>2.5000000000000001E-2</v>
      </c>
      <c r="H16" s="98">
        <v>0.01</v>
      </c>
      <c r="I16" s="66">
        <f t="shared" si="1"/>
        <v>5.199999999999998E-3</v>
      </c>
      <c r="J16" s="65">
        <f t="shared" si="2"/>
        <v>4.0715999999999983</v>
      </c>
      <c r="K16" s="374">
        <f>'Regulatory Capital'!D14*'Regulatory Capital'!$C$39</f>
        <v>0.18</v>
      </c>
      <c r="L16" s="71">
        <f t="shared" si="3"/>
        <v>2.8888888888888877E-2</v>
      </c>
    </row>
    <row r="17" spans="2:12" x14ac:dyDescent="0.3">
      <c r="B17" s="26" t="s">
        <v>591</v>
      </c>
      <c r="C17" s="374">
        <f t="shared" si="0"/>
        <v>1.3041028700205475E-2</v>
      </c>
      <c r="D17" s="15">
        <v>787</v>
      </c>
      <c r="E17" s="98">
        <v>0.14000000000000001</v>
      </c>
      <c r="F17" s="98">
        <v>7.7299999999999994E-2</v>
      </c>
      <c r="G17" s="98">
        <v>0.03</v>
      </c>
      <c r="H17" s="98">
        <v>0.02</v>
      </c>
      <c r="I17" s="66">
        <f t="shared" si="1"/>
        <v>1.270000000000002E-2</v>
      </c>
      <c r="J17" s="65">
        <f t="shared" si="2"/>
        <v>9.9949000000000154</v>
      </c>
      <c r="K17" s="374">
        <f>'Regulatory Capital'!D15*'Regulatory Capital'!$C$39</f>
        <v>0.22499999999999998</v>
      </c>
      <c r="L17" s="71">
        <f t="shared" si="3"/>
        <v>5.6444444444444533E-2</v>
      </c>
    </row>
    <row r="18" spans="2:12" x14ac:dyDescent="0.3">
      <c r="B18" s="26" t="s">
        <v>275</v>
      </c>
      <c r="C18" s="374">
        <f t="shared" si="0"/>
        <v>6.3299529396168884E-3</v>
      </c>
      <c r="D18" s="15">
        <v>382</v>
      </c>
      <c r="E18" s="98">
        <v>0.2</v>
      </c>
      <c r="F18" s="98">
        <v>7.7299999999999994E-2</v>
      </c>
      <c r="G18" s="98">
        <v>0.04</v>
      </c>
      <c r="H18" s="98">
        <v>0.03</v>
      </c>
      <c r="I18" s="66">
        <f t="shared" si="1"/>
        <v>5.2700000000000025E-2</v>
      </c>
      <c r="J18" s="65">
        <f t="shared" si="2"/>
        <v>20.13140000000001</v>
      </c>
      <c r="K18" s="374">
        <f>'Regulatory Capital'!D16*'Regulatory Capital'!$C$39</f>
        <v>0.22499999999999998</v>
      </c>
      <c r="L18" s="71">
        <f t="shared" si="3"/>
        <v>0.23422222222222236</v>
      </c>
    </row>
    <row r="19" spans="2:12" x14ac:dyDescent="0.3">
      <c r="B19" s="26" t="s">
        <v>592</v>
      </c>
      <c r="C19" s="374">
        <f t="shared" si="0"/>
        <v>1.6570557433552065E-5</v>
      </c>
      <c r="D19" s="15">
        <v>1</v>
      </c>
      <c r="E19" s="98">
        <v>0.18</v>
      </c>
      <c r="F19" s="98">
        <v>7.7299999999999994E-2</v>
      </c>
      <c r="G19" s="98">
        <v>3.5000000000000003E-2</v>
      </c>
      <c r="H19" s="98">
        <v>2.5000000000000001E-2</v>
      </c>
      <c r="I19" s="66">
        <f t="shared" si="1"/>
        <v>4.2699999999999995E-2</v>
      </c>
      <c r="J19" s="65">
        <f t="shared" si="2"/>
        <v>4.2699999999999995E-2</v>
      </c>
      <c r="K19" s="374">
        <f>1.25*'Regulatory Capital'!$C$39</f>
        <v>0.22499999999999998</v>
      </c>
      <c r="L19" s="71">
        <f t="shared" si="3"/>
        <v>0.18977777777777777</v>
      </c>
    </row>
    <row r="20" spans="2:12" x14ac:dyDescent="0.3">
      <c r="B20" s="26" t="s">
        <v>593</v>
      </c>
      <c r="C20" s="374">
        <f t="shared" si="0"/>
        <v>9.6092662557168418E-2</v>
      </c>
      <c r="D20" s="15">
        <f>$C$5-SUM(D8:D19)</f>
        <v>5799</v>
      </c>
      <c r="E20" s="98">
        <v>0.15</v>
      </c>
      <c r="F20" s="98">
        <v>7.7299999999999994E-2</v>
      </c>
      <c r="G20" s="98">
        <v>2.5000000000000001E-2</v>
      </c>
      <c r="H20" s="98">
        <v>1.7999999999999999E-2</v>
      </c>
      <c r="I20" s="66">
        <f t="shared" si="1"/>
        <v>2.9700000000000001E-2</v>
      </c>
      <c r="J20" s="65">
        <f t="shared" si="2"/>
        <v>172.2303</v>
      </c>
      <c r="K20" s="374">
        <f>'Regulatory Capital'!D17*'Regulatory Capital'!$C$39</f>
        <v>0.18</v>
      </c>
      <c r="L20" s="71">
        <f t="shared" si="3"/>
        <v>0.16500000000000001</v>
      </c>
    </row>
    <row r="21" spans="2:12" x14ac:dyDescent="0.3">
      <c r="B21" s="106" t="s">
        <v>277</v>
      </c>
      <c r="C21" s="134">
        <f>SUM(C8:C20)</f>
        <v>0.99999999999999989</v>
      </c>
      <c r="D21" s="135">
        <f>SUM(D8:D20)</f>
        <v>60348</v>
      </c>
      <c r="E21" s="117">
        <f>SUMPRODUCT(E8:E20,D8:D20)/D21</f>
        <v>0.15860606399549282</v>
      </c>
      <c r="F21" s="118"/>
      <c r="G21" s="118"/>
      <c r="H21" s="118"/>
      <c r="I21" s="117">
        <f>IFERROR(J21/D21,"")</f>
        <v>2.7841508417843188E-2</v>
      </c>
      <c r="J21" s="105">
        <f>SUM(J8:J20)</f>
        <v>1680.1793500000008</v>
      </c>
      <c r="K21" s="117">
        <f>SUMPRODUCT(K8:K20,D8:D20)/D21</f>
        <v>0.17472882282759994</v>
      </c>
      <c r="L21" s="119">
        <f t="shared" si="3"/>
        <v>0.15934124643713549</v>
      </c>
    </row>
    <row r="22" spans="2:12" x14ac:dyDescent="0.3">
      <c r="B22" s="26"/>
      <c r="L22" s="35"/>
    </row>
    <row r="23" spans="2:12" x14ac:dyDescent="0.3">
      <c r="B23" s="567" t="s">
        <v>1257</v>
      </c>
      <c r="C23" s="524"/>
      <c r="D23" s="524"/>
      <c r="E23" s="524"/>
      <c r="F23" s="524"/>
      <c r="G23" s="524"/>
      <c r="H23" s="524"/>
      <c r="I23" s="524"/>
      <c r="J23" s="524"/>
      <c r="K23" s="524"/>
      <c r="L23" s="568"/>
    </row>
    <row r="24" spans="2:12" ht="22.05" customHeight="1" x14ac:dyDescent="0.3">
      <c r="B24" s="645" t="str">
        <f>"Previously Instant Consumer Loan ranked highest at ~40% illustrative ROE. On regulatory capital it falls to "&amp;TEXT(L9,"0.0%")&amp;", because its 125% risk weight consumes "&amp;TEXT(K9,"0.0%")&amp;" of AUM in capital versus the 18% previously assumed. Business Loan now ranks highest at "&amp;TEXT(L11,"0.0%")&amp;" on a 75% risk weight. Gold Loan falls from ~4.6% to "&amp;TEXT(L13,"0.0%")&amp;"."</f>
        <v>Previously Instant Consumer Loan ranked highest at ~40% illustrative ROE. On regulatory capital it falls to 32.3%, because its 125% risk weight consumes 22.5% of AUM in capital versus the 18% previously assumed. Business Loan now ranks highest at 37.6% on a 75% risk weight. Gold Loan falls from ~4.6% to 2.1%.</v>
      </c>
      <c r="C24" s="646"/>
      <c r="D24" s="646"/>
      <c r="E24" s="646"/>
      <c r="F24" s="646"/>
      <c r="G24" s="646"/>
      <c r="H24" s="646"/>
      <c r="I24" s="646"/>
      <c r="J24" s="646"/>
      <c r="K24" s="646"/>
      <c r="L24" s="647"/>
    </row>
    <row r="25" spans="2:12" ht="22.05" customHeight="1" x14ac:dyDescent="0.3">
      <c r="B25" s="645"/>
      <c r="C25" s="646"/>
      <c r="D25" s="646"/>
      <c r="E25" s="646"/>
      <c r="F25" s="646"/>
      <c r="G25" s="646"/>
      <c r="H25" s="646"/>
      <c r="I25" s="646"/>
      <c r="J25" s="646"/>
      <c r="K25" s="646"/>
      <c r="L25" s="647"/>
    </row>
    <row r="26" spans="2:12" x14ac:dyDescent="0.3">
      <c r="B26" s="567" t="s">
        <v>1234</v>
      </c>
      <c r="C26" s="524"/>
      <c r="D26" s="524"/>
      <c r="E26" s="524"/>
      <c r="F26" s="524"/>
      <c r="G26" s="524"/>
      <c r="H26" s="524"/>
      <c r="I26" s="524"/>
      <c r="J26" s="524"/>
      <c r="K26" s="524"/>
      <c r="L26" s="568"/>
    </row>
    <row r="27" spans="2:12" ht="24" customHeight="1" x14ac:dyDescent="0.3">
      <c r="B27" s="645" t="str">
        <f>"Unsecured consumer lending still screens well on modelled RAROC ("&amp;TEXT(L9,"0.0%")&amp;") even after the 125% risk-weight penalty. Secured Business Loan screens higher still ("&amp;TEXT(L11,"0.0%")&amp;") on a 75% risk weight, and a heavier secured mix lowers the blended "&amp;"risk weight (currently "&amp;TEXT('Regulatory Capital'!D18,"0.0%")&amp;"), easing the group capital requirement. SCREENING CONCLUSION, not an allocation decision: "&amp;"secured Business Loan is the strongest candidate on both return per unit of capital AND capital relief, with selective unsecured consumer retained for returns. "&amp;"Before capital is reallocated this needs product-level actual credit cost, fully-allocated acquisition and servicing cost, and vintage loss behaviour - none of which the Company discloses."</f>
        <v>Unsecured consumer lending still screens well on modelled RAROC (32.3%) even after the 125% risk-weight penalty. Secured Business Loan screens higher still (37.6%) on a 75% risk weight, and a heavier secured mix lowers the blended risk weight (currently 97.1%), easing the group capital requirement. SCREENING CONCLUSION, not an allocation decision: secured Business Loan is the strongest candidate on both return per unit of capital AND capital relief, with selective unsecured consumer retained for returns. Before capital is reallocated this needs product-level actual credit cost, fully-allocated acquisition and servicing cost, and vintage loss behaviour - none of which the Company discloses.</v>
      </c>
      <c r="C27" s="646"/>
      <c r="D27" s="646"/>
      <c r="E27" s="646"/>
      <c r="F27" s="646"/>
      <c r="G27" s="646"/>
      <c r="H27" s="646"/>
      <c r="I27" s="646"/>
      <c r="J27" s="646"/>
      <c r="K27" s="646"/>
      <c r="L27" s="647"/>
    </row>
    <row r="28" spans="2:12" ht="24" customHeight="1" x14ac:dyDescent="0.3">
      <c r="B28" s="645"/>
      <c r="C28" s="646"/>
      <c r="D28" s="646"/>
      <c r="E28" s="646"/>
      <c r="F28" s="646"/>
      <c r="G28" s="646"/>
      <c r="H28" s="646"/>
      <c r="I28" s="646"/>
      <c r="J28" s="646"/>
      <c r="K28" s="646"/>
      <c r="L28" s="647"/>
    </row>
    <row r="29" spans="2:12" x14ac:dyDescent="0.3">
      <c r="B29" s="384"/>
      <c r="C29" s="385"/>
      <c r="D29" s="385"/>
      <c r="E29" s="385"/>
      <c r="F29" s="385"/>
      <c r="G29" s="385"/>
      <c r="H29" s="385"/>
      <c r="I29" s="385"/>
      <c r="J29" s="385"/>
      <c r="K29" s="385"/>
      <c r="L29" s="386"/>
    </row>
    <row r="30" spans="2:12" x14ac:dyDescent="0.3">
      <c r="B30" s="639" t="s">
        <v>1258</v>
      </c>
      <c r="C30" s="640"/>
      <c r="D30" s="640"/>
      <c r="E30" s="640"/>
      <c r="F30" s="640"/>
      <c r="G30" s="640"/>
      <c r="H30" s="640"/>
      <c r="I30" s="640"/>
      <c r="J30" s="640"/>
      <c r="K30" s="640"/>
      <c r="L30" s="641"/>
    </row>
    <row r="31" spans="2:12" ht="78" customHeight="1" x14ac:dyDescent="0.3">
      <c r="B31" s="642" t="s">
        <v>1259</v>
      </c>
      <c r="C31" s="643"/>
      <c r="D31" s="643"/>
      <c r="E31" s="643"/>
      <c r="F31" s="643"/>
      <c r="G31" s="643"/>
      <c r="H31" s="643"/>
      <c r="I31" s="643"/>
      <c r="J31" s="643"/>
      <c r="K31" s="643"/>
      <c r="L31" s="644"/>
    </row>
  </sheetData>
  <mergeCells count="9">
    <mergeCell ref="B2:L2"/>
    <mergeCell ref="B1:L1"/>
    <mergeCell ref="B30:L30"/>
    <mergeCell ref="B31:L31"/>
    <mergeCell ref="B23:L23"/>
    <mergeCell ref="B26:L26"/>
    <mergeCell ref="B24:L25"/>
    <mergeCell ref="B27:L28"/>
    <mergeCell ref="B3:J3"/>
  </mergeCells>
  <hyperlinks>
    <hyperlink ref="N1" location="Home!A1" tooltip="Back to Home / Index" display="⌂ Home" xr:uid="{CED49847-90D4-4747-81F6-7F8E4D2BCAFA}"/>
  </hyperlinks>
  <pageMargins left="0.25" right="0.25" top="0.75" bottom="0.75" header="0.3" footer="0.3"/>
  <pageSetup scale="81" orientation="landscape"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2F025-4391-447C-ACA5-76DCFEC96D2B}">
  <sheetPr>
    <tabColor rgb="FFFFD966"/>
  </sheetPr>
  <dimension ref="B1:H29"/>
  <sheetViews>
    <sheetView showGridLines="0" topLeftCell="C1" zoomScaleNormal="100" workbookViewId="0">
      <selection activeCell="F3" sqref="F1:I1048576"/>
    </sheetView>
  </sheetViews>
  <sheetFormatPr defaultRowHeight="14.4" x14ac:dyDescent="0.3"/>
  <cols>
    <col min="1" max="1" width="1.77734375" customWidth="1"/>
    <col min="2" max="2" width="59.77734375" customWidth="1"/>
    <col min="3" max="6" width="16" customWidth="1"/>
    <col min="7" max="8" width="8.88671875" customWidth="1"/>
  </cols>
  <sheetData>
    <row r="1" spans="2:8" ht="24" customHeight="1" x14ac:dyDescent="0.3">
      <c r="B1" s="505" t="s">
        <v>1141</v>
      </c>
      <c r="C1" s="549"/>
      <c r="D1" s="549"/>
      <c r="E1" s="549"/>
      <c r="F1" s="550"/>
      <c r="H1" s="269" t="s">
        <v>891</v>
      </c>
    </row>
    <row r="2" spans="2:8" ht="46.05" customHeight="1" x14ac:dyDescent="0.3">
      <c r="B2" s="508" t="s">
        <v>1142</v>
      </c>
      <c r="C2" s="652"/>
      <c r="D2" s="652"/>
      <c r="E2" s="652"/>
      <c r="F2" s="653"/>
    </row>
    <row r="3" spans="2:8" x14ac:dyDescent="0.3">
      <c r="B3" s="26"/>
      <c r="F3" s="35"/>
    </row>
    <row r="4" spans="2:8" ht="15" thickBot="1" x14ac:dyDescent="0.35">
      <c r="B4" s="47" t="s">
        <v>3</v>
      </c>
      <c r="C4" s="48" t="s">
        <v>6</v>
      </c>
      <c r="D4" s="48" t="s">
        <v>7</v>
      </c>
      <c r="E4" s="48" t="s">
        <v>8</v>
      </c>
      <c r="F4" s="64" t="s">
        <v>9</v>
      </c>
    </row>
    <row r="5" spans="2:8" x14ac:dyDescent="0.3">
      <c r="B5" s="26" t="s">
        <v>1143</v>
      </c>
      <c r="C5" s="90">
        <v>210</v>
      </c>
      <c r="D5" s="90">
        <v>290</v>
      </c>
      <c r="E5" s="90">
        <v>380</v>
      </c>
      <c r="F5" s="120">
        <v>500</v>
      </c>
    </row>
    <row r="6" spans="2:8" x14ac:dyDescent="0.3">
      <c r="B6" s="26" t="s">
        <v>1159</v>
      </c>
      <c r="C6" s="17">
        <f>'Business Performance Scorecard'!E161*'Distribution Analytics'!C5</f>
        <v>4842.8999999999996</v>
      </c>
      <c r="D6" s="17">
        <f>'KPIs &amp; Ratios'!F95*'Distribution Analytics'!C5</f>
        <v>7500.9</v>
      </c>
      <c r="E6" s="17">
        <f>'KPIs &amp; Ratios'!G95*'Distribution Analytics'!C5</f>
        <v>10689.3</v>
      </c>
      <c r="F6" s="39">
        <f>'KPIs &amp; Ratios'!H95*'Distribution Analytics'!C5</f>
        <v>18104.399999999998</v>
      </c>
    </row>
    <row r="7" spans="2:8" x14ac:dyDescent="0.3">
      <c r="B7" s="26" t="s">
        <v>278</v>
      </c>
      <c r="C7" s="65">
        <f>IFERROR(C6/C5,"")</f>
        <v>23.061428571428571</v>
      </c>
      <c r="D7" s="65">
        <f>IFERROR(D6/D5,"")</f>
        <v>25.865172413793101</v>
      </c>
      <c r="E7" s="65">
        <f>IFERROR(E6/E5,"")</f>
        <v>28.12973684210526</v>
      </c>
      <c r="F7" s="72">
        <f>IFERROR(F6/F5,"")</f>
        <v>36.208799999999997</v>
      </c>
    </row>
    <row r="8" spans="2:8" x14ac:dyDescent="0.3">
      <c r="B8" s="26" t="s">
        <v>1144</v>
      </c>
      <c r="C8" s="387">
        <f>'KPIs &amp; Ratios'!E25</f>
        <v>0.12073405753592191</v>
      </c>
      <c r="D8" s="387">
        <f>'KPIs &amp; Ratios'!F25</f>
        <v>0.15561865925451643</v>
      </c>
      <c r="E8" s="387">
        <f>'KPIs &amp; Ratios'!G25</f>
        <v>0.14155655950883217</v>
      </c>
      <c r="F8" s="299">
        <f>'KPIs &amp; Ratios'!H25</f>
        <v>0.13854610083088495</v>
      </c>
    </row>
    <row r="9" spans="2:8" x14ac:dyDescent="0.3">
      <c r="B9" s="26" t="s">
        <v>1145</v>
      </c>
      <c r="C9" s="16">
        <f>C7*C8</f>
        <v>2.7842998440034106</v>
      </c>
      <c r="D9" s="16">
        <f>D7*D8</f>
        <v>4.0251034524213871</v>
      </c>
      <c r="E9" s="16">
        <f>E7*E8</f>
        <v>3.9819487672572618</v>
      </c>
      <c r="F9" s="38">
        <f>F7*F8</f>
        <v>5.0165880557653466</v>
      </c>
    </row>
    <row r="10" spans="2:8" x14ac:dyDescent="0.3">
      <c r="B10" s="26" t="s">
        <v>1146</v>
      </c>
      <c r="C10" s="16">
        <f>-C7*'KPIs &amp; Ratios'!E26</f>
        <v>-1.3056629252503662</v>
      </c>
      <c r="D10" s="16">
        <f>-D7*'KPIs &amp; Ratios'!F26</f>
        <v>-1.8763317109103559</v>
      </c>
      <c r="E10" s="16">
        <f>-E7*'KPIs &amp; Ratios'!G26</f>
        <v>-2.0809753642813185</v>
      </c>
      <c r="F10" s="38">
        <f>-F7*'KPIs &amp; Ratios'!H26</f>
        <v>-2.7082821832456161</v>
      </c>
    </row>
    <row r="11" spans="2:8" x14ac:dyDescent="0.3">
      <c r="B11" s="31" t="s">
        <v>1147</v>
      </c>
      <c r="C11" s="388">
        <f>-C7*'KPIs &amp; Ratios'!E43</f>
        <v>0.22169296682651013</v>
      </c>
      <c r="D11" s="388">
        <f>-D7*'KPIs &amp; Ratios'!F43</f>
        <v>-9.9976531143824668E-2</v>
      </c>
      <c r="E11" s="388">
        <f>-E7*'KPIs &amp; Ratios'!G43</f>
        <v>-1.4986083969419337</v>
      </c>
      <c r="F11" s="300">
        <f>-F7*'KPIs &amp; Ratios'!H43</f>
        <v>-0.90199263126724205</v>
      </c>
    </row>
    <row r="12" spans="2:8" x14ac:dyDescent="0.3">
      <c r="B12" s="106" t="s">
        <v>1148</v>
      </c>
      <c r="C12" s="301">
        <v>-0.45</v>
      </c>
      <c r="D12" s="301">
        <v>-0.45</v>
      </c>
      <c r="E12" s="301">
        <v>-0.45</v>
      </c>
      <c r="F12" s="302">
        <v>-0.45</v>
      </c>
    </row>
    <row r="13" spans="2:8" x14ac:dyDescent="0.3">
      <c r="B13" s="26" t="s">
        <v>1149</v>
      </c>
      <c r="C13" s="51">
        <v>-0.15</v>
      </c>
      <c r="D13" s="51">
        <v>-0.15</v>
      </c>
      <c r="E13" s="51">
        <v>-0.15</v>
      </c>
      <c r="F13" s="55">
        <v>-0.15</v>
      </c>
    </row>
    <row r="14" spans="2:8" x14ac:dyDescent="0.3">
      <c r="B14" s="296" t="s">
        <v>1150</v>
      </c>
      <c r="C14" s="79">
        <f>SUM(C9:C13)</f>
        <v>1.1003298855795547</v>
      </c>
      <c r="D14" s="79">
        <f>SUM(D9:D13)</f>
        <v>1.4487952103672066</v>
      </c>
      <c r="E14" s="79">
        <f>SUM(E9:E13)</f>
        <v>-0.19763499396599041</v>
      </c>
      <c r="F14" s="87">
        <f>SUM(F9:F13)</f>
        <v>0.8063132412524886</v>
      </c>
    </row>
    <row r="15" spans="2:8" x14ac:dyDescent="0.3">
      <c r="B15" s="26" t="s">
        <v>1151</v>
      </c>
      <c r="C15" s="65">
        <f>-C14*Assumptions!C16</f>
        <v>-0.27695303220037387</v>
      </c>
      <c r="D15" s="65">
        <f>-D14*Assumptions!C16</f>
        <v>-0.36466175444942589</v>
      </c>
      <c r="E15" s="65">
        <f>-E14*Assumptions!C16</f>
        <v>4.9744727981239779E-2</v>
      </c>
      <c r="F15" s="72">
        <f>-F14*Assumptions!C16</f>
        <v>-0.20294904282325135</v>
      </c>
    </row>
    <row r="16" spans="2:8" x14ac:dyDescent="0.3">
      <c r="B16" s="296" t="s">
        <v>1152</v>
      </c>
      <c r="C16" s="79">
        <f>C14+C15</f>
        <v>0.82337685337918076</v>
      </c>
      <c r="D16" s="79">
        <f>D14+D15</f>
        <v>1.0841334559177807</v>
      </c>
      <c r="E16" s="79">
        <f>E14+E15</f>
        <v>-0.14789026598475064</v>
      </c>
      <c r="F16" s="87">
        <f>F14+F15</f>
        <v>0.60336419842923728</v>
      </c>
    </row>
    <row r="17" spans="2:8" x14ac:dyDescent="0.3">
      <c r="B17" s="26" t="s">
        <v>1153</v>
      </c>
      <c r="C17" s="79">
        <f>C16*C5</f>
        <v>172.90913920962797</v>
      </c>
      <c r="D17" s="79">
        <f>D16*D5</f>
        <v>314.39870221615638</v>
      </c>
      <c r="E17" s="79">
        <f>E16*E5</f>
        <v>-56.19830107420524</v>
      </c>
      <c r="F17" s="87">
        <f>F16*F5</f>
        <v>301.68209921461863</v>
      </c>
    </row>
    <row r="18" spans="2:8" x14ac:dyDescent="0.3">
      <c r="B18" s="26"/>
      <c r="F18" s="35"/>
    </row>
    <row r="19" spans="2:8" x14ac:dyDescent="0.3">
      <c r="B19" s="567" t="s">
        <v>1154</v>
      </c>
      <c r="C19" s="524"/>
      <c r="D19" s="524"/>
      <c r="E19" s="524"/>
      <c r="F19" s="568"/>
    </row>
    <row r="20" spans="2:8" x14ac:dyDescent="0.3">
      <c r="B20" s="26" t="s">
        <v>1155</v>
      </c>
      <c r="F20" s="72">
        <f>F17</f>
        <v>301.68209921461863</v>
      </c>
    </row>
    <row r="21" spans="2:8" x14ac:dyDescent="0.3">
      <c r="B21" s="26" t="s">
        <v>1156</v>
      </c>
      <c r="F21" s="72">
        <f>'KPIs &amp; Ratios'!H35</f>
        <v>541.80999999999972</v>
      </c>
    </row>
    <row r="22" spans="2:8" x14ac:dyDescent="0.3">
      <c r="B22" s="26" t="s">
        <v>1157</v>
      </c>
      <c r="F22" s="72">
        <f>F20-F21</f>
        <v>-240.12790078538109</v>
      </c>
    </row>
    <row r="23" spans="2:8" x14ac:dyDescent="0.3">
      <c r="B23" s="26"/>
      <c r="F23" s="72"/>
    </row>
    <row r="24" spans="2:8" x14ac:dyDescent="0.3">
      <c r="B24" s="389" t="s">
        <v>1158</v>
      </c>
      <c r="C24" s="306"/>
      <c r="D24" s="306"/>
      <c r="E24" s="306"/>
      <c r="F24" s="390"/>
    </row>
    <row r="25" spans="2:8" x14ac:dyDescent="0.3">
      <c r="B25" s="26"/>
      <c r="F25" s="35"/>
    </row>
    <row r="26" spans="2:8" x14ac:dyDescent="0.3">
      <c r="B26" s="389" t="s">
        <v>1328</v>
      </c>
      <c r="C26" s="306"/>
      <c r="D26" s="306"/>
      <c r="E26" s="306"/>
      <c r="F26" s="390"/>
      <c r="G26" s="306"/>
      <c r="H26" s="306"/>
    </row>
    <row r="27" spans="2:8" ht="57.6" customHeight="1" x14ac:dyDescent="0.3">
      <c r="B27" s="654" t="s">
        <v>1329</v>
      </c>
      <c r="C27" s="588"/>
      <c r="D27" s="588"/>
      <c r="E27" s="588"/>
      <c r="F27" s="655"/>
    </row>
    <row r="28" spans="2:8" x14ac:dyDescent="0.3">
      <c r="B28" s="391"/>
      <c r="C28" s="325"/>
      <c r="D28" s="325"/>
      <c r="E28" s="325"/>
      <c r="F28" s="392"/>
    </row>
    <row r="29" spans="2:8" ht="58.2" customHeight="1" x14ac:dyDescent="0.3">
      <c r="B29" s="649" t="s">
        <v>1330</v>
      </c>
      <c r="C29" s="650"/>
      <c r="D29" s="650"/>
      <c r="E29" s="650"/>
      <c r="F29" s="651"/>
    </row>
  </sheetData>
  <mergeCells count="5">
    <mergeCell ref="B29:F29"/>
    <mergeCell ref="B1:F1"/>
    <mergeCell ref="B2:F2"/>
    <mergeCell ref="B19:F19"/>
    <mergeCell ref="B27:F27"/>
  </mergeCells>
  <hyperlinks>
    <hyperlink ref="H1" location="Home!A1" tooltip="Back to Home / Index" display="⌂ Home" xr:uid="{9180CBDD-03EA-4DFB-AFD0-F4C8B11C7200}"/>
  </hyperlinks>
  <pageMargins left="0.25" right="0.25" top="0.75" bottom="0.75" header="0.3" footer="0.3"/>
  <pageSetup scale="91" orientation="landscape"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0020E-CCB5-45F2-9CB3-A2C7E6B46456}">
  <sheetPr>
    <tabColor rgb="FFFFD966"/>
  </sheetPr>
  <dimension ref="B1:H22"/>
  <sheetViews>
    <sheetView showGridLines="0" workbookViewId="0">
      <selection activeCell="F3" sqref="F1:I1048576"/>
    </sheetView>
  </sheetViews>
  <sheetFormatPr defaultRowHeight="14.4" x14ac:dyDescent="0.3"/>
  <cols>
    <col min="1" max="1" width="1.77734375" customWidth="1"/>
    <col min="2" max="2" width="50" customWidth="1"/>
    <col min="3" max="5" width="20.33203125" customWidth="1"/>
    <col min="6" max="6" width="16.44140625" customWidth="1"/>
    <col min="7" max="8" width="8.88671875" customWidth="1"/>
  </cols>
  <sheetData>
    <row r="1" spans="2:8" ht="25.95" customHeight="1" x14ac:dyDescent="0.4">
      <c r="B1" s="517" t="s">
        <v>1005</v>
      </c>
      <c r="C1" s="518"/>
      <c r="D1" s="518"/>
      <c r="E1" s="518"/>
      <c r="F1" s="519"/>
      <c r="H1" s="269" t="s">
        <v>891</v>
      </c>
    </row>
    <row r="2" spans="2:8" ht="46.05" customHeight="1" x14ac:dyDescent="0.3">
      <c r="B2" s="659" t="s">
        <v>1006</v>
      </c>
      <c r="C2" s="554"/>
      <c r="D2" s="554"/>
      <c r="E2" s="554"/>
      <c r="F2" s="660"/>
    </row>
    <row r="3" spans="2:8" x14ac:dyDescent="0.3">
      <c r="B3" s="343"/>
      <c r="F3" s="356"/>
    </row>
    <row r="4" spans="2:8" x14ac:dyDescent="0.3">
      <c r="B4" s="620" t="s">
        <v>1007</v>
      </c>
      <c r="C4" s="524"/>
      <c r="D4" s="524"/>
      <c r="E4" s="524"/>
      <c r="F4" s="525"/>
    </row>
    <row r="5" spans="2:8" x14ac:dyDescent="0.3">
      <c r="B5" s="342" t="s">
        <v>780</v>
      </c>
      <c r="C5" s="179" t="s">
        <v>7</v>
      </c>
      <c r="D5" s="179" t="s">
        <v>8</v>
      </c>
      <c r="E5" s="179" t="s">
        <v>9</v>
      </c>
      <c r="F5" s="393" t="s">
        <v>1008</v>
      </c>
    </row>
    <row r="6" spans="2:8" x14ac:dyDescent="0.3">
      <c r="B6" s="394" t="s">
        <v>232</v>
      </c>
      <c r="C6">
        <f>'KPIs &amp; Ratios'!F44</f>
        <v>1.1599999999999999</v>
      </c>
      <c r="D6">
        <f>'KPIs &amp; Ratios'!G44</f>
        <v>1.84</v>
      </c>
      <c r="E6">
        <f>'KPIs &amp; Ratios'!H44</f>
        <v>1.44</v>
      </c>
      <c r="F6" s="395">
        <f>'Business Performance Scorecard'!C192*100</f>
        <v>1.37</v>
      </c>
    </row>
    <row r="7" spans="2:8" x14ac:dyDescent="0.3">
      <c r="B7" s="394" t="s">
        <v>233</v>
      </c>
      <c r="C7">
        <f>'KPIs &amp; Ratios'!F45</f>
        <v>0.59</v>
      </c>
      <c r="D7">
        <f>'KPIs &amp; Ratios'!G45</f>
        <v>0.85</v>
      </c>
      <c r="E7">
        <f>'KPIs &amp; Ratios'!H45</f>
        <v>0.74</v>
      </c>
      <c r="F7" s="395">
        <f>'Business Performance Scorecard'!C193*100</f>
        <v>0.70000000000000007</v>
      </c>
    </row>
    <row r="8" spans="2:8" x14ac:dyDescent="0.3">
      <c r="B8" s="394" t="s">
        <v>1009</v>
      </c>
      <c r="C8" s="396">
        <f>'KPIs &amp; Ratios'!F46*100</f>
        <v>49.137931034482762</v>
      </c>
      <c r="D8" s="396">
        <f>'KPIs &amp; Ratios'!G46*100</f>
        <v>53.804347826086961</v>
      </c>
      <c r="E8" s="396">
        <f>'KPIs &amp; Ratios'!H46*100</f>
        <v>48.611111111111107</v>
      </c>
      <c r="F8" s="395">
        <v>49.11</v>
      </c>
    </row>
    <row r="9" spans="2:8" x14ac:dyDescent="0.3">
      <c r="B9" s="394" t="s">
        <v>1010</v>
      </c>
      <c r="C9" s="396">
        <f>'KPIs &amp; Ratios'!F43*100</f>
        <v>0.38652953687836339</v>
      </c>
      <c r="D9" s="396">
        <f>'KPIs &amp; Ratios'!G43*100</f>
        <v>5.3274881501869622</v>
      </c>
      <c r="E9" s="396">
        <f>'KPIs &amp; Ratios'!H43*100</f>
        <v>2.4910867835090977</v>
      </c>
      <c r="F9" s="395">
        <f>'Business Performance Scorecard'!C191*100</f>
        <v>2.4</v>
      </c>
    </row>
    <row r="10" spans="2:8" x14ac:dyDescent="0.3">
      <c r="B10" s="394"/>
      <c r="F10" s="395"/>
    </row>
    <row r="11" spans="2:8" x14ac:dyDescent="0.3">
      <c r="B11" s="661" t="s">
        <v>1011</v>
      </c>
      <c r="C11" s="555"/>
      <c r="D11" s="555"/>
      <c r="E11" s="555"/>
      <c r="F11" s="662"/>
    </row>
    <row r="12" spans="2:8" x14ac:dyDescent="0.3">
      <c r="B12" s="394" t="s">
        <v>1012</v>
      </c>
      <c r="C12" t="s">
        <v>1013</v>
      </c>
      <c r="D12" t="s">
        <v>1014</v>
      </c>
      <c r="F12" s="395"/>
    </row>
    <row r="13" spans="2:8" x14ac:dyDescent="0.3">
      <c r="B13" s="394" t="s">
        <v>1015</v>
      </c>
      <c r="C13" s="91">
        <v>0.98499999999999999</v>
      </c>
      <c r="D13" t="s">
        <v>1016</v>
      </c>
      <c r="F13" s="395"/>
    </row>
    <row r="14" spans="2:8" x14ac:dyDescent="0.3">
      <c r="B14" s="394" t="s">
        <v>1017</v>
      </c>
      <c r="C14" s="91">
        <v>2.5000000000000001E-2</v>
      </c>
      <c r="D14" t="s">
        <v>1018</v>
      </c>
      <c r="F14" s="395"/>
    </row>
    <row r="15" spans="2:8" x14ac:dyDescent="0.3">
      <c r="B15" s="394" t="s">
        <v>1019</v>
      </c>
      <c r="C15" s="91">
        <v>0.28000000000000003</v>
      </c>
      <c r="D15" t="s">
        <v>1020</v>
      </c>
      <c r="F15" s="395"/>
    </row>
    <row r="16" spans="2:8" x14ac:dyDescent="0.3">
      <c r="B16" s="394" t="s">
        <v>1021</v>
      </c>
      <c r="C16" s="91">
        <v>0.42</v>
      </c>
      <c r="D16" t="s">
        <v>1022</v>
      </c>
      <c r="F16" s="395"/>
    </row>
    <row r="17" spans="2:6" x14ac:dyDescent="0.3">
      <c r="B17" s="394" t="s">
        <v>1023</v>
      </c>
      <c r="C17" s="91">
        <v>0.55000000000000004</v>
      </c>
      <c r="D17" t="s">
        <v>1024</v>
      </c>
      <c r="F17" s="395"/>
    </row>
    <row r="18" spans="2:6" x14ac:dyDescent="0.3">
      <c r="B18" s="394" t="s">
        <v>1025</v>
      </c>
      <c r="C18" s="91">
        <v>0.35</v>
      </c>
      <c r="D18" t="s">
        <v>1026</v>
      </c>
      <c r="F18" s="395"/>
    </row>
    <row r="19" spans="2:6" x14ac:dyDescent="0.3">
      <c r="B19" s="394" t="s">
        <v>1027</v>
      </c>
      <c r="C19" s="91">
        <v>0.3</v>
      </c>
      <c r="D19" t="s">
        <v>1028</v>
      </c>
      <c r="F19" s="395"/>
    </row>
    <row r="20" spans="2:6" x14ac:dyDescent="0.3">
      <c r="B20" s="394"/>
      <c r="F20" s="395"/>
    </row>
    <row r="21" spans="2:6" x14ac:dyDescent="0.3">
      <c r="B21" s="661" t="s">
        <v>1029</v>
      </c>
      <c r="C21" s="555"/>
      <c r="D21" s="555"/>
      <c r="E21" s="555"/>
      <c r="F21" s="662"/>
    </row>
    <row r="22" spans="2:6" ht="27" customHeight="1" x14ac:dyDescent="0.3">
      <c r="B22" s="656" t="s">
        <v>1030</v>
      </c>
      <c r="C22" s="657"/>
      <c r="D22" s="657"/>
      <c r="E22" s="657"/>
      <c r="F22" s="658"/>
    </row>
  </sheetData>
  <mergeCells count="6">
    <mergeCell ref="B22:F22"/>
    <mergeCell ref="B1:F1"/>
    <mergeCell ref="B2:F2"/>
    <mergeCell ref="B4:F4"/>
    <mergeCell ref="B11:F11"/>
    <mergeCell ref="B21:F21"/>
  </mergeCells>
  <hyperlinks>
    <hyperlink ref="H1" location="Home!A1" tooltip="Back to Home / Index" display="⌂ Home" xr:uid="{69849218-1EFE-4D5E-ACF5-B67B22149C7A}"/>
  </hyperlinks>
  <pageMargins left="0.25" right="0.25" top="0.75" bottom="0.75" header="0.3" footer="0.3"/>
  <pageSetup orientation="landscape"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A722-BFCD-4D08-A188-8B033353BF0C}">
  <sheetPr>
    <tabColor rgb="FFFFD966"/>
  </sheetPr>
  <dimension ref="B1:H16"/>
  <sheetViews>
    <sheetView showGridLines="0" workbookViewId="0">
      <selection activeCell="F3" sqref="F1:I1048576"/>
    </sheetView>
  </sheetViews>
  <sheetFormatPr defaultRowHeight="14.4" x14ac:dyDescent="0.3"/>
  <cols>
    <col min="1" max="1" width="1.77734375" customWidth="1"/>
    <col min="2" max="2" width="50" customWidth="1"/>
    <col min="3" max="4" width="6.88671875" bestFit="1" customWidth="1"/>
    <col min="5" max="5" width="16.6640625" bestFit="1" customWidth="1"/>
    <col min="6" max="6" width="46.33203125" customWidth="1"/>
    <col min="7" max="8" width="8.88671875" customWidth="1"/>
  </cols>
  <sheetData>
    <row r="1" spans="2:8" ht="25.95" customHeight="1" x14ac:dyDescent="0.4">
      <c r="B1" s="517" t="s">
        <v>1031</v>
      </c>
      <c r="C1" s="518"/>
      <c r="D1" s="518"/>
      <c r="E1" s="518"/>
      <c r="F1" s="519"/>
      <c r="H1" s="269" t="s">
        <v>891</v>
      </c>
    </row>
    <row r="2" spans="2:8" ht="46.05" customHeight="1" x14ac:dyDescent="0.3">
      <c r="B2" s="619" t="s">
        <v>1032</v>
      </c>
      <c r="C2" s="521"/>
      <c r="D2" s="521"/>
      <c r="E2" s="521"/>
      <c r="F2" s="522"/>
    </row>
    <row r="3" spans="2:8" x14ac:dyDescent="0.3">
      <c r="B3" s="343"/>
      <c r="F3" s="356"/>
    </row>
    <row r="4" spans="2:8" x14ac:dyDescent="0.3">
      <c r="B4" s="342" t="s">
        <v>1033</v>
      </c>
      <c r="C4" s="179" t="s">
        <v>6</v>
      </c>
      <c r="D4" s="179" t="s">
        <v>7</v>
      </c>
      <c r="E4" s="179" t="s">
        <v>1034</v>
      </c>
      <c r="F4" s="351" t="s">
        <v>1035</v>
      </c>
    </row>
    <row r="5" spans="2:8" x14ac:dyDescent="0.3">
      <c r="B5" s="394" t="s">
        <v>1036</v>
      </c>
      <c r="C5">
        <f>'KPIs &amp; Ratios'!E76</f>
        <v>0.81</v>
      </c>
      <c r="D5">
        <f>'KPIs &amp; Ratios'!F76</f>
        <v>0.82</v>
      </c>
      <c r="F5" s="395" t="s">
        <v>1037</v>
      </c>
    </row>
    <row r="6" spans="2:8" x14ac:dyDescent="0.3">
      <c r="B6" s="394" t="s">
        <v>1038</v>
      </c>
      <c r="E6" s="91">
        <v>0.62</v>
      </c>
      <c r="F6" s="395" t="s">
        <v>1039</v>
      </c>
    </row>
    <row r="7" spans="2:8" ht="24.6" x14ac:dyDescent="0.3">
      <c r="B7" s="394" t="s">
        <v>1040</v>
      </c>
      <c r="E7" s="91">
        <v>0.55000000000000004</v>
      </c>
      <c r="F7" s="395" t="s">
        <v>1041</v>
      </c>
    </row>
    <row r="8" spans="2:8" x14ac:dyDescent="0.3">
      <c r="B8" s="394" t="s">
        <v>1042</v>
      </c>
      <c r="E8" s="91">
        <v>0.68</v>
      </c>
      <c r="F8" s="395" t="s">
        <v>1039</v>
      </c>
    </row>
    <row r="9" spans="2:8" x14ac:dyDescent="0.3">
      <c r="B9" s="394" t="s">
        <v>1043</v>
      </c>
      <c r="E9" s="91">
        <v>1.5</v>
      </c>
      <c r="F9" s="395" t="s">
        <v>1044</v>
      </c>
    </row>
    <row r="10" spans="2:8" x14ac:dyDescent="0.3">
      <c r="B10" s="394" t="s">
        <v>1045</v>
      </c>
      <c r="E10">
        <f>'Distribution Analytics'!D10</f>
        <v>2364</v>
      </c>
      <c r="F10" s="395" t="s">
        <v>1046</v>
      </c>
    </row>
    <row r="11" spans="2:8" x14ac:dyDescent="0.3">
      <c r="B11" s="394"/>
      <c r="F11" s="395"/>
    </row>
    <row r="12" spans="2:8" x14ac:dyDescent="0.3">
      <c r="B12" s="661" t="s">
        <v>1047</v>
      </c>
      <c r="C12" s="555"/>
      <c r="D12" s="555"/>
      <c r="E12" s="555"/>
      <c r="F12" s="662"/>
    </row>
    <row r="13" spans="2:8" x14ac:dyDescent="0.3">
      <c r="B13" s="394" t="s">
        <v>1048</v>
      </c>
      <c r="E13">
        <f>'Business Performance Scorecard'!C194*100</f>
        <v>4.0599999999999996</v>
      </c>
      <c r="F13" s="395" t="s">
        <v>1049</v>
      </c>
    </row>
    <row r="14" spans="2:8" x14ac:dyDescent="0.3">
      <c r="B14" s="394" t="s">
        <v>1050</v>
      </c>
      <c r="E14">
        <f>'KPIs &amp; Ratios'!H30*100</f>
        <v>52.009441595639586</v>
      </c>
      <c r="F14" s="395" t="s">
        <v>1051</v>
      </c>
    </row>
    <row r="15" spans="2:8" x14ac:dyDescent="0.3">
      <c r="B15" s="394" t="s">
        <v>1052</v>
      </c>
      <c r="E15">
        <f>'KPIs &amp; Ratios'!H70</f>
        <v>1.1596672354948807</v>
      </c>
      <c r="F15" s="395" t="s">
        <v>1053</v>
      </c>
    </row>
    <row r="16" spans="2:8" x14ac:dyDescent="0.3">
      <c r="B16" s="397" t="s">
        <v>1054</v>
      </c>
      <c r="C16" s="398"/>
      <c r="D16" s="398"/>
      <c r="E16" s="398">
        <f>Assumptions!C14</f>
        <v>11.72</v>
      </c>
      <c r="F16" s="399" t="s">
        <v>1055</v>
      </c>
    </row>
  </sheetData>
  <mergeCells count="3">
    <mergeCell ref="B1:F1"/>
    <mergeCell ref="B2:F2"/>
    <mergeCell ref="B12:F12"/>
  </mergeCells>
  <hyperlinks>
    <hyperlink ref="H1" location="Home!A1" tooltip="Back to Home / Index" display="⌂ Home" xr:uid="{DF6C228F-EFC2-4E04-B457-64D2DB747011}"/>
  </hyperlinks>
  <pageMargins left="0.25" right="0.25" top="0.75" bottom="0.75" header="0.3" footer="0.3"/>
  <pageSetup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084A-9272-4CB3-AE1D-C13B705EEEE3}">
  <sheetPr>
    <tabColor rgb="FFFFD966"/>
  </sheetPr>
  <dimension ref="B1:I94"/>
  <sheetViews>
    <sheetView showGridLines="0" topLeftCell="G1" zoomScaleNormal="100" workbookViewId="0">
      <selection activeCell="G4" sqref="G1:J1048576"/>
    </sheetView>
  </sheetViews>
  <sheetFormatPr defaultRowHeight="14.4" x14ac:dyDescent="0.3"/>
  <cols>
    <col min="1" max="1" width="1.77734375" customWidth="1"/>
    <col min="2" max="2" width="24.109375" customWidth="1"/>
    <col min="3" max="3" width="25.88671875" customWidth="1"/>
    <col min="4" max="4" width="13" customWidth="1"/>
    <col min="5" max="5" width="37" customWidth="1"/>
    <col min="6" max="6" width="33.33203125" customWidth="1"/>
    <col min="7" max="7" width="40.77734375" customWidth="1"/>
    <col min="8" max="9" width="8.88671875" customWidth="1"/>
  </cols>
  <sheetData>
    <row r="1" spans="2:9" ht="17.399999999999999" x14ac:dyDescent="0.3">
      <c r="B1" s="636" t="s">
        <v>649</v>
      </c>
      <c r="C1" s="637"/>
      <c r="D1" s="637"/>
      <c r="E1" s="637"/>
      <c r="F1" s="637"/>
      <c r="G1" s="638"/>
      <c r="I1" s="269" t="s">
        <v>891</v>
      </c>
    </row>
    <row r="2" spans="2:9" ht="14.4" customHeight="1" x14ac:dyDescent="0.3">
      <c r="B2" s="582" t="s">
        <v>650</v>
      </c>
      <c r="C2" s="583"/>
      <c r="D2" s="583"/>
      <c r="E2" s="583"/>
      <c r="F2" s="583"/>
      <c r="G2" s="584"/>
    </row>
    <row r="3" spans="2:9" x14ac:dyDescent="0.3">
      <c r="B3" s="582"/>
      <c r="C3" s="583"/>
      <c r="D3" s="583"/>
      <c r="E3" s="583"/>
      <c r="F3" s="583"/>
      <c r="G3" s="584"/>
    </row>
    <row r="4" spans="2:9" x14ac:dyDescent="0.3">
      <c r="B4" s="219"/>
      <c r="C4" s="218"/>
      <c r="D4" s="218"/>
      <c r="E4" s="218"/>
      <c r="F4" s="218"/>
      <c r="G4" s="248"/>
    </row>
    <row r="5" spans="2:9" x14ac:dyDescent="0.3">
      <c r="B5" s="567" t="s">
        <v>651</v>
      </c>
      <c r="C5" s="524"/>
      <c r="D5" s="524"/>
      <c r="E5" s="524"/>
      <c r="F5" s="524"/>
      <c r="G5" s="568"/>
    </row>
    <row r="6" spans="2:9" x14ac:dyDescent="0.3">
      <c r="B6" s="175" t="s">
        <v>652</v>
      </c>
      <c r="C6" s="12" t="s">
        <v>653</v>
      </c>
      <c r="D6" s="12" t="s">
        <v>654</v>
      </c>
      <c r="E6" s="12" t="s">
        <v>655</v>
      </c>
      <c r="F6" s="12" t="s">
        <v>656</v>
      </c>
      <c r="G6" s="60" t="s">
        <v>657</v>
      </c>
    </row>
    <row r="7" spans="2:9" ht="28.8" x14ac:dyDescent="0.3">
      <c r="B7" s="129" t="s">
        <v>658</v>
      </c>
      <c r="C7" s="3" t="s">
        <v>659</v>
      </c>
      <c r="D7" s="76">
        <f>'Business Performance Scorecard'!C192</f>
        <v>1.37E-2</v>
      </c>
      <c r="E7" s="264" t="str">
        <f>IF(D7&lt;0.01,"GREEN",IF(D7&lt;0.02,"YELLOW","RED"))</f>
        <v>YELLOW</v>
      </c>
      <c r="F7" s="3" t="s">
        <v>660</v>
      </c>
      <c r="G7" s="93" t="s">
        <v>661</v>
      </c>
    </row>
    <row r="8" spans="2:9" ht="28.8" x14ac:dyDescent="0.3">
      <c r="B8" s="129" t="s">
        <v>662</v>
      </c>
      <c r="C8" s="3" t="s">
        <v>663</v>
      </c>
      <c r="D8" s="67">
        <f>'KPIs &amp; Ratios'!H54</f>
        <v>181</v>
      </c>
      <c r="E8" s="264" t="str">
        <f>IF(D8&gt;150,"GREEN",IF(D8&gt;120,"YELLOW","RED"))</f>
        <v>GREEN</v>
      </c>
      <c r="F8" s="3" t="s">
        <v>664</v>
      </c>
      <c r="G8" s="93" t="s">
        <v>665</v>
      </c>
    </row>
    <row r="9" spans="2:9" ht="28.8" x14ac:dyDescent="0.3">
      <c r="B9" s="129" t="s">
        <v>666</v>
      </c>
      <c r="C9" s="3" t="s">
        <v>667</v>
      </c>
      <c r="D9" s="76">
        <f>'Business Performance Scorecard'!C190</f>
        <v>9.0999999999999998E-2</v>
      </c>
      <c r="E9" s="264" t="str">
        <f>IF(D9&gt;0.09,"GREEN",IF(D9&gt;0.07,"YELLOW","RED"))</f>
        <v>GREEN</v>
      </c>
      <c r="F9" s="3" t="s">
        <v>668</v>
      </c>
      <c r="G9" s="93" t="s">
        <v>669</v>
      </c>
    </row>
    <row r="10" spans="2:9" ht="28.8" x14ac:dyDescent="0.3">
      <c r="B10" s="129" t="s">
        <v>670</v>
      </c>
      <c r="C10" s="3" t="s">
        <v>671</v>
      </c>
      <c r="D10" s="265">
        <f>'KPIs &amp; Ratios'!H30*100</f>
        <v>52.009441595639586</v>
      </c>
      <c r="E10" s="264" t="str">
        <f>IF(D10&lt;45,"GREEN",IF(D10&lt;55,"YELLOW","RED"))</f>
        <v>YELLOW</v>
      </c>
      <c r="F10" s="3" t="s">
        <v>672</v>
      </c>
      <c r="G10" s="93" t="s">
        <v>673</v>
      </c>
    </row>
    <row r="11" spans="2:9" ht="28.8" x14ac:dyDescent="0.3">
      <c r="B11" s="129" t="s">
        <v>674</v>
      </c>
      <c r="C11" s="3" t="s">
        <v>675</v>
      </c>
      <c r="D11" s="265">
        <f>'KPIs &amp; Ratios'!H8*100</f>
        <v>69.369369369369366</v>
      </c>
      <c r="E11" s="264" t="str">
        <f>IF(D11&gt;20,"GREEN",IF(D11&gt;10,"YELLOW","RED"))</f>
        <v>GREEN</v>
      </c>
      <c r="F11" s="3" t="s">
        <v>676</v>
      </c>
      <c r="G11" s="93" t="s">
        <v>677</v>
      </c>
    </row>
    <row r="12" spans="2:9" ht="28.8" x14ac:dyDescent="0.3">
      <c r="B12" s="129" t="s">
        <v>678</v>
      </c>
      <c r="C12" s="3" t="s">
        <v>679</v>
      </c>
      <c r="D12" s="76">
        <f>IFERROR('Branch Profitability'!F11/'Branch Profitability'!E11-1,"")</f>
        <v>-0.3981131874692202</v>
      </c>
      <c r="E12" s="264" t="str">
        <f>IF(D12&gt;0.15,"GREEN",IF(D12&gt;0,"YELLOW","RED"))</f>
        <v>RED</v>
      </c>
      <c r="F12" s="3" t="s">
        <v>680</v>
      </c>
      <c r="G12" s="93" t="s">
        <v>681</v>
      </c>
    </row>
    <row r="13" spans="2:9" ht="43.2" x14ac:dyDescent="0.3">
      <c r="B13" s="129" t="s">
        <v>682</v>
      </c>
      <c r="C13" s="3" t="s">
        <v>683</v>
      </c>
      <c r="D13" s="76">
        <f>'Customer Analytics'!F8</f>
        <v>0.27</v>
      </c>
      <c r="E13" s="264" t="str">
        <f>IF(D13&gt;0.3,"GREEN",IF(D13&gt;0.2,"YELLOW","RED"))</f>
        <v>YELLOW</v>
      </c>
      <c r="F13" s="3" t="s">
        <v>684</v>
      </c>
      <c r="G13" s="93" t="s">
        <v>685</v>
      </c>
    </row>
    <row r="14" spans="2:9" ht="28.8" x14ac:dyDescent="0.3">
      <c r="B14" s="129" t="s">
        <v>686</v>
      </c>
      <c r="C14" s="3" t="s">
        <v>687</v>
      </c>
      <c r="D14" s="76">
        <f>'Business Performance Scorecard'!C199</f>
        <v>0.1946</v>
      </c>
      <c r="E14" s="264" t="str">
        <f>IF(D14&gt;0.18,"GREEN",IF(D14&gt;0.15,"YELLOW","RED"))</f>
        <v>GREEN</v>
      </c>
      <c r="F14" s="3" t="s">
        <v>688</v>
      </c>
      <c r="G14" s="93" t="s">
        <v>689</v>
      </c>
    </row>
    <row r="15" spans="2:9" ht="28.8" x14ac:dyDescent="0.3">
      <c r="B15" s="129" t="s">
        <v>690</v>
      </c>
      <c r="C15" s="3" t="s">
        <v>691</v>
      </c>
      <c r="D15" s="76">
        <f>'KPIs &amp; Ratios'!F76</f>
        <v>0.82</v>
      </c>
      <c r="E15" s="264" t="s">
        <v>698</v>
      </c>
      <c r="F15" s="3" t="s">
        <v>692</v>
      </c>
      <c r="G15" s="93" t="s">
        <v>693</v>
      </c>
    </row>
    <row r="16" spans="2:9" ht="28.8" x14ac:dyDescent="0.3">
      <c r="B16" s="129" t="s">
        <v>694</v>
      </c>
      <c r="C16" s="3" t="s">
        <v>695</v>
      </c>
      <c r="D16" s="265">
        <f>'Business Performance Scorecard'!H173</f>
        <v>0</v>
      </c>
      <c r="E16" s="264" t="str">
        <f>IF(D16&gt;15,"GREEN",IF(D16&gt;8,"YELLOW","RED"))</f>
        <v>RED</v>
      </c>
      <c r="F16" s="3" t="s">
        <v>696</v>
      </c>
      <c r="G16" s="93" t="s">
        <v>697</v>
      </c>
    </row>
    <row r="17" spans="2:7" x14ac:dyDescent="0.3">
      <c r="B17" s="26"/>
      <c r="G17" s="35"/>
    </row>
    <row r="18" spans="2:7" x14ac:dyDescent="0.3">
      <c r="B18" s="26"/>
      <c r="G18" s="35"/>
    </row>
    <row r="19" spans="2:7" x14ac:dyDescent="0.3">
      <c r="B19" s="143" t="s">
        <v>699</v>
      </c>
      <c r="C19" s="4"/>
      <c r="D19" s="4"/>
      <c r="E19" s="4"/>
      <c r="F19" s="4"/>
      <c r="G19" s="81"/>
    </row>
    <row r="20" spans="2:7" x14ac:dyDescent="0.3">
      <c r="B20" s="33" t="s">
        <v>700</v>
      </c>
      <c r="G20" s="35"/>
    </row>
    <row r="21" spans="2:7" s="211" customFormat="1" x14ac:dyDescent="0.3">
      <c r="B21" s="214" t="s">
        <v>652</v>
      </c>
      <c r="C21" s="215" t="s">
        <v>701</v>
      </c>
      <c r="D21" s="215" t="s">
        <v>702</v>
      </c>
      <c r="G21" s="212"/>
    </row>
    <row r="22" spans="2:7" x14ac:dyDescent="0.3">
      <c r="B22" s="26" t="s">
        <v>658</v>
      </c>
      <c r="C22" s="182">
        <v>3</v>
      </c>
      <c r="D22" s="182">
        <v>5</v>
      </c>
      <c r="G22" s="35"/>
    </row>
    <row r="23" spans="2:7" x14ac:dyDescent="0.3">
      <c r="B23" s="26" t="s">
        <v>662</v>
      </c>
      <c r="C23" s="182">
        <v>2</v>
      </c>
      <c r="D23" s="182">
        <v>5</v>
      </c>
      <c r="G23" s="35"/>
    </row>
    <row r="24" spans="2:7" x14ac:dyDescent="0.3">
      <c r="B24" s="26" t="s">
        <v>666</v>
      </c>
      <c r="C24" s="182">
        <v>2.85</v>
      </c>
      <c r="D24" s="182">
        <v>2.9</v>
      </c>
      <c r="G24" s="35"/>
    </row>
    <row r="25" spans="2:7" x14ac:dyDescent="0.3">
      <c r="B25" s="26" t="s">
        <v>670</v>
      </c>
      <c r="C25" s="182">
        <v>3.15</v>
      </c>
      <c r="D25" s="182">
        <v>3.1</v>
      </c>
      <c r="G25" s="35"/>
    </row>
    <row r="26" spans="2:7" x14ac:dyDescent="0.3">
      <c r="B26" s="26" t="s">
        <v>674</v>
      </c>
      <c r="C26" s="182">
        <v>1.85</v>
      </c>
      <c r="D26" s="182">
        <v>3.9</v>
      </c>
      <c r="G26" s="35"/>
    </row>
    <row r="27" spans="2:7" x14ac:dyDescent="0.3">
      <c r="B27" s="26" t="s">
        <v>678</v>
      </c>
      <c r="C27" s="182">
        <v>3.15</v>
      </c>
      <c r="D27" s="182">
        <v>2.1</v>
      </c>
      <c r="G27" s="35"/>
    </row>
    <row r="28" spans="2:7" x14ac:dyDescent="0.3">
      <c r="B28" s="26" t="s">
        <v>682</v>
      </c>
      <c r="C28" s="182">
        <v>2.85</v>
      </c>
      <c r="D28" s="182">
        <v>1.9</v>
      </c>
      <c r="G28" s="35"/>
    </row>
    <row r="29" spans="2:7" x14ac:dyDescent="0.3">
      <c r="B29" s="26" t="s">
        <v>686</v>
      </c>
      <c r="C29" s="182">
        <v>2.15</v>
      </c>
      <c r="D29" s="182">
        <v>4.0999999999999996</v>
      </c>
      <c r="G29" s="35"/>
    </row>
    <row r="30" spans="2:7" x14ac:dyDescent="0.3">
      <c r="B30" s="26" t="s">
        <v>690</v>
      </c>
      <c r="C30" s="182">
        <v>2</v>
      </c>
      <c r="D30" s="182">
        <v>2</v>
      </c>
      <c r="G30" s="35"/>
    </row>
    <row r="31" spans="2:7" x14ac:dyDescent="0.3">
      <c r="B31" s="26" t="s">
        <v>694</v>
      </c>
      <c r="C31" s="182">
        <v>3</v>
      </c>
      <c r="D31" s="182">
        <v>4</v>
      </c>
      <c r="G31" s="35"/>
    </row>
    <row r="32" spans="2:7" x14ac:dyDescent="0.3">
      <c r="B32" s="26"/>
      <c r="G32" s="35"/>
    </row>
    <row r="33" spans="2:7" x14ac:dyDescent="0.3">
      <c r="B33" s="26"/>
      <c r="G33" s="35"/>
    </row>
    <row r="34" spans="2:7" x14ac:dyDescent="0.3">
      <c r="B34" s="26"/>
      <c r="G34" s="35"/>
    </row>
    <row r="35" spans="2:7" x14ac:dyDescent="0.3">
      <c r="B35" s="26"/>
      <c r="G35" s="35"/>
    </row>
    <row r="36" spans="2:7" x14ac:dyDescent="0.3">
      <c r="B36" s="26"/>
      <c r="G36" s="35"/>
    </row>
    <row r="37" spans="2:7" x14ac:dyDescent="0.3">
      <c r="B37" s="26"/>
      <c r="G37" s="35"/>
    </row>
    <row r="38" spans="2:7" x14ac:dyDescent="0.3">
      <c r="B38" s="26"/>
      <c r="G38" s="35"/>
    </row>
    <row r="39" spans="2:7" x14ac:dyDescent="0.3">
      <c r="B39" s="26"/>
      <c r="G39" s="35"/>
    </row>
    <row r="40" spans="2:7" x14ac:dyDescent="0.3">
      <c r="B40" s="26"/>
      <c r="G40" s="35"/>
    </row>
    <row r="41" spans="2:7" x14ac:dyDescent="0.3">
      <c r="B41" s="26"/>
      <c r="G41" s="35"/>
    </row>
    <row r="42" spans="2:7" x14ac:dyDescent="0.3">
      <c r="B42" s="26"/>
      <c r="G42" s="35"/>
    </row>
    <row r="43" spans="2:7" x14ac:dyDescent="0.3">
      <c r="B43" s="26"/>
      <c r="G43" s="35"/>
    </row>
    <row r="44" spans="2:7" x14ac:dyDescent="0.3">
      <c r="B44" s="26"/>
      <c r="G44" s="35"/>
    </row>
    <row r="45" spans="2:7" x14ac:dyDescent="0.3">
      <c r="B45" s="26"/>
      <c r="G45" s="35"/>
    </row>
    <row r="46" spans="2:7" x14ac:dyDescent="0.3">
      <c r="B46" s="26"/>
      <c r="G46" s="35"/>
    </row>
    <row r="47" spans="2:7" x14ac:dyDescent="0.3">
      <c r="B47" s="26"/>
      <c r="G47" s="35"/>
    </row>
    <row r="48" spans="2:7" x14ac:dyDescent="0.3">
      <c r="B48" s="26"/>
      <c r="G48" s="35"/>
    </row>
    <row r="49" spans="2:7" x14ac:dyDescent="0.3">
      <c r="B49" s="26"/>
      <c r="G49" s="35"/>
    </row>
    <row r="50" spans="2:7" x14ac:dyDescent="0.3">
      <c r="B50" s="26"/>
      <c r="G50" s="35"/>
    </row>
    <row r="51" spans="2:7" x14ac:dyDescent="0.3">
      <c r="B51" s="26"/>
      <c r="G51" s="35"/>
    </row>
    <row r="52" spans="2:7" x14ac:dyDescent="0.3">
      <c r="B52" s="26"/>
      <c r="G52" s="35"/>
    </row>
    <row r="53" spans="2:7" x14ac:dyDescent="0.3">
      <c r="B53" s="26"/>
      <c r="G53" s="35"/>
    </row>
    <row r="54" spans="2:7" x14ac:dyDescent="0.3">
      <c r="B54" s="26"/>
      <c r="G54" s="35"/>
    </row>
    <row r="55" spans="2:7" x14ac:dyDescent="0.3">
      <c r="B55" s="26"/>
      <c r="G55" s="35"/>
    </row>
    <row r="56" spans="2:7" x14ac:dyDescent="0.3">
      <c r="B56" s="26"/>
      <c r="G56" s="35"/>
    </row>
    <row r="57" spans="2:7" x14ac:dyDescent="0.3">
      <c r="B57" s="26"/>
      <c r="G57" s="35"/>
    </row>
    <row r="58" spans="2:7" x14ac:dyDescent="0.3">
      <c r="B58" s="567" t="s">
        <v>703</v>
      </c>
      <c r="C58" s="524"/>
      <c r="D58" s="524"/>
      <c r="E58" s="524"/>
      <c r="G58" s="35"/>
    </row>
    <row r="59" spans="2:7" x14ac:dyDescent="0.3">
      <c r="B59" s="175" t="s">
        <v>704</v>
      </c>
      <c r="C59" s="12" t="s">
        <v>705</v>
      </c>
      <c r="D59" s="12" t="s">
        <v>744</v>
      </c>
      <c r="E59" s="12" t="s">
        <v>706</v>
      </c>
      <c r="G59" s="35"/>
    </row>
    <row r="60" spans="2:7" ht="28.8" x14ac:dyDescent="0.3">
      <c r="B60" s="26" t="s">
        <v>707</v>
      </c>
      <c r="C60" s="89">
        <f>'Business Performance Scorecard'!C192</f>
        <v>1.37E-2</v>
      </c>
      <c r="D60" s="172" t="str">
        <f>IF(C60&lt;'KPIs &amp; Ratios'!H44/100,"↓ Improving","↑ Worsening")</f>
        <v>↓ Improving</v>
      </c>
      <c r="E60" s="3" t="s">
        <v>708</v>
      </c>
      <c r="G60" s="35"/>
    </row>
    <row r="61" spans="2:7" ht="28.8" x14ac:dyDescent="0.3">
      <c r="B61" s="26" t="s">
        <v>709</v>
      </c>
      <c r="C61" s="224" t="s">
        <v>710</v>
      </c>
      <c r="D61" s="172" t="s">
        <v>619</v>
      </c>
      <c r="E61" s="3" t="s">
        <v>711</v>
      </c>
      <c r="G61" s="35"/>
    </row>
    <row r="62" spans="2:7" ht="28.8" x14ac:dyDescent="0.3">
      <c r="B62" s="26" t="s">
        <v>576</v>
      </c>
      <c r="C62" s="89">
        <f>'Business Performance Scorecard'!C200</f>
        <v>7.7200000000000005E-2</v>
      </c>
      <c r="D62" s="172" t="str">
        <f>IF(C62&lt;0.0763,"↓ Improving","↑ Worsening")</f>
        <v>↑ Worsening</v>
      </c>
      <c r="E62" s="3" t="s">
        <v>712</v>
      </c>
      <c r="G62" s="35"/>
    </row>
    <row r="63" spans="2:7" ht="28.8" x14ac:dyDescent="0.3">
      <c r="B63" s="26" t="s">
        <v>713</v>
      </c>
      <c r="C63" s="99">
        <f>'Business Performance Scorecard'!C189</f>
        <v>67054</v>
      </c>
      <c r="D63" s="172" t="str">
        <f>"QoQ +"&amp;TEXT('Business Performance Scorecard'!C189/'Balance Sheet'!H14-1,"0.0%")</f>
        <v>QoQ +19.8%</v>
      </c>
      <c r="E63" s="3" t="s">
        <v>714</v>
      </c>
      <c r="G63" s="35"/>
    </row>
    <row r="64" spans="2:7" ht="28.8" x14ac:dyDescent="0.3">
      <c r="B64" s="26" t="s">
        <v>715</v>
      </c>
      <c r="C64" s="101">
        <f>'Branch Profitability'!F7</f>
        <v>36.208799999999997</v>
      </c>
      <c r="D64" s="172" t="str">
        <f>IF('Branch Profitability'!F7&gt;'Branch Profitability'!E7,"↑ Improving","↓ Worsening")</f>
        <v>↑ Improving</v>
      </c>
      <c r="E64" s="3" t="s">
        <v>716</v>
      </c>
      <c r="G64" s="35"/>
    </row>
    <row r="65" spans="2:7" ht="28.8" x14ac:dyDescent="0.3">
      <c r="B65" s="26" t="s">
        <v>717</v>
      </c>
      <c r="C65" s="89">
        <f>'Customer Analytics'!F8</f>
        <v>0.27</v>
      </c>
      <c r="D65" s="172" t="str">
        <f>IF(C65&gt;'Customer Analytics'!E8,"↑ Improving","↓ Worsening")</f>
        <v>↑ Improving</v>
      </c>
      <c r="E65" s="3" t="s">
        <v>718</v>
      </c>
      <c r="G65" s="35"/>
    </row>
    <row r="66" spans="2:7" ht="28.8" x14ac:dyDescent="0.3">
      <c r="B66" s="26" t="s">
        <v>719</v>
      </c>
      <c r="C66" s="101">
        <f>'KPIs &amp; Ratios'!H70</f>
        <v>1.1596672354948807</v>
      </c>
      <c r="D66" s="172" t="str">
        <f>IF(C66&gt;'KPIs &amp; Ratios'!G70,"↑ Improving","↓ Worsening")</f>
        <v>↓ Worsening</v>
      </c>
      <c r="E66" s="3" t="s">
        <v>720</v>
      </c>
      <c r="G66" s="35"/>
    </row>
    <row r="67" spans="2:7" ht="28.8" x14ac:dyDescent="0.3">
      <c r="B67" s="26" t="s">
        <v>721</v>
      </c>
      <c r="C67" s="89">
        <f>'Business Performance Scorecard'!C199</f>
        <v>0.1946</v>
      </c>
      <c r="D67" s="172" t="str">
        <f>IF(C67&gt;'KPIs &amp; Ratios'!H53/100,"↑ Improving","↓ Worsening")</f>
        <v>↑ Improving</v>
      </c>
      <c r="E67" s="3" t="s">
        <v>722</v>
      </c>
      <c r="G67" s="35"/>
    </row>
    <row r="68" spans="2:7" x14ac:dyDescent="0.3">
      <c r="B68" s="26"/>
      <c r="G68" s="35"/>
    </row>
    <row r="69" spans="2:7" x14ac:dyDescent="0.3">
      <c r="B69" s="28" t="s">
        <v>723</v>
      </c>
      <c r="C69" s="4"/>
      <c r="D69" s="4"/>
      <c r="E69" s="4"/>
      <c r="F69" s="4"/>
      <c r="G69" s="81"/>
    </row>
    <row r="70" spans="2:7" ht="22.05" customHeight="1" x14ac:dyDescent="0.3">
      <c r="B70" s="663" t="s">
        <v>724</v>
      </c>
      <c r="C70" s="532"/>
      <c r="D70" s="668" t="s">
        <v>732</v>
      </c>
      <c r="E70" s="669"/>
      <c r="F70" s="669"/>
      <c r="G70" s="670"/>
    </row>
    <row r="71" spans="2:7" ht="13.95" customHeight="1" x14ac:dyDescent="0.3">
      <c r="B71" s="176" t="s">
        <v>325</v>
      </c>
      <c r="D71" s="669"/>
      <c r="E71" s="669"/>
      <c r="F71" s="669"/>
      <c r="G71" s="670"/>
    </row>
    <row r="72" spans="2:7" ht="22.05" customHeight="1" x14ac:dyDescent="0.3">
      <c r="B72" s="664" t="s">
        <v>725</v>
      </c>
      <c r="C72" s="665"/>
      <c r="D72" s="669"/>
      <c r="E72" s="669"/>
      <c r="F72" s="669"/>
      <c r="G72" s="670"/>
    </row>
    <row r="73" spans="2:7" ht="13.95" customHeight="1" x14ac:dyDescent="0.3">
      <c r="B73" s="176" t="s">
        <v>325</v>
      </c>
      <c r="D73" s="669"/>
      <c r="E73" s="669"/>
      <c r="F73" s="669"/>
      <c r="G73" s="670"/>
    </row>
    <row r="74" spans="2:7" ht="22.05" customHeight="1" x14ac:dyDescent="0.3">
      <c r="B74" s="664" t="s">
        <v>726</v>
      </c>
      <c r="C74" s="665"/>
      <c r="D74" s="669"/>
      <c r="E74" s="669"/>
      <c r="F74" s="669"/>
      <c r="G74" s="670"/>
    </row>
    <row r="75" spans="2:7" ht="13.95" customHeight="1" x14ac:dyDescent="0.3">
      <c r="B75" s="176" t="s">
        <v>325</v>
      </c>
      <c r="D75" s="669"/>
      <c r="E75" s="669"/>
      <c r="F75" s="669"/>
      <c r="G75" s="670"/>
    </row>
    <row r="76" spans="2:7" ht="22.05" customHeight="1" x14ac:dyDescent="0.3">
      <c r="B76" s="664" t="s">
        <v>727</v>
      </c>
      <c r="C76" s="665"/>
      <c r="D76" s="669"/>
      <c r="E76" s="669"/>
      <c r="F76" s="669"/>
      <c r="G76" s="670"/>
    </row>
    <row r="77" spans="2:7" ht="13.95" customHeight="1" x14ac:dyDescent="0.3">
      <c r="B77" s="176" t="s">
        <v>325</v>
      </c>
      <c r="D77" s="669"/>
      <c r="E77" s="669"/>
      <c r="F77" s="669"/>
      <c r="G77" s="670"/>
    </row>
    <row r="78" spans="2:7" ht="22.05" customHeight="1" x14ac:dyDescent="0.3">
      <c r="B78" s="666" t="s">
        <v>728</v>
      </c>
      <c r="C78" s="667"/>
      <c r="G78" s="35"/>
    </row>
    <row r="79" spans="2:7" ht="13.95" customHeight="1" x14ac:dyDescent="0.3">
      <c r="B79" s="176" t="s">
        <v>325</v>
      </c>
      <c r="G79" s="35"/>
    </row>
    <row r="80" spans="2:7" ht="22.05" customHeight="1" x14ac:dyDescent="0.3">
      <c r="B80" s="666" t="s">
        <v>729</v>
      </c>
      <c r="C80" s="667"/>
      <c r="G80" s="35"/>
    </row>
    <row r="81" spans="2:7" ht="13.95" customHeight="1" x14ac:dyDescent="0.3">
      <c r="B81" s="176" t="s">
        <v>325</v>
      </c>
      <c r="G81" s="35"/>
    </row>
    <row r="82" spans="2:7" ht="22.05" customHeight="1" x14ac:dyDescent="0.3">
      <c r="B82" s="564" t="s">
        <v>730</v>
      </c>
      <c r="C82" s="536"/>
      <c r="G82" s="35"/>
    </row>
    <row r="83" spans="2:7" ht="13.95" customHeight="1" x14ac:dyDescent="0.3">
      <c r="B83" s="176" t="s">
        <v>325</v>
      </c>
      <c r="G83" s="35"/>
    </row>
    <row r="84" spans="2:7" ht="22.05" customHeight="1" x14ac:dyDescent="0.3">
      <c r="B84" s="563" t="s">
        <v>731</v>
      </c>
      <c r="C84" s="470"/>
      <c r="G84" s="35"/>
    </row>
    <row r="85" spans="2:7" x14ac:dyDescent="0.3">
      <c r="B85" s="26"/>
      <c r="G85" s="35"/>
    </row>
    <row r="86" spans="2:7" x14ac:dyDescent="0.3">
      <c r="B86" s="26"/>
      <c r="G86" s="35"/>
    </row>
    <row r="87" spans="2:7" x14ac:dyDescent="0.3">
      <c r="B87" s="567" t="s">
        <v>733</v>
      </c>
      <c r="C87" s="524"/>
      <c r="D87" s="524"/>
      <c r="E87" s="524"/>
      <c r="F87" s="524"/>
      <c r="G87" s="35"/>
    </row>
    <row r="88" spans="2:7" x14ac:dyDescent="0.3">
      <c r="B88" s="175" t="s">
        <v>734</v>
      </c>
      <c r="C88" s="12" t="s">
        <v>291</v>
      </c>
      <c r="D88" s="12" t="s">
        <v>735</v>
      </c>
      <c r="E88" s="12" t="s">
        <v>736</v>
      </c>
      <c r="F88" s="12" t="s">
        <v>737</v>
      </c>
      <c r="G88" s="35"/>
    </row>
    <row r="89" spans="2:7" ht="28.8" x14ac:dyDescent="0.3">
      <c r="B89" s="176">
        <v>1</v>
      </c>
      <c r="C89" s="77" t="str">
        <f>'Value Creation Tracker'!C7</f>
        <v>Treasury diversification — higher NCD mix, longer tenor</v>
      </c>
      <c r="D89" t="str">
        <f>'Value Creation Tracker'!D7</f>
        <v>Cost of Borrowing %</v>
      </c>
      <c r="E89" s="173">
        <f>'Value Creation Tracker'!G7</f>
        <v>120</v>
      </c>
      <c r="F89" t="s">
        <v>738</v>
      </c>
      <c r="G89" s="35"/>
    </row>
    <row r="90" spans="2:7" ht="43.2" x14ac:dyDescent="0.3">
      <c r="B90" s="176">
        <v>2</v>
      </c>
      <c r="C90" s="77" t="str">
        <f>'Value Creation Tracker'!C5</f>
        <v>Branch productivity uplift (staggered gold-loan branch ramp-up)</v>
      </c>
      <c r="D90" t="str">
        <f>'Value Creation Tracker'!D5</f>
        <v>Cost-to-Income Ratio %</v>
      </c>
      <c r="E90" s="173">
        <f>'Value Creation Tracker'!G5</f>
        <v>90</v>
      </c>
      <c r="F90" t="s">
        <v>739</v>
      </c>
      <c r="G90" s="35"/>
    </row>
    <row r="91" spans="2:7" ht="43.2" x14ac:dyDescent="0.3">
      <c r="B91" s="176">
        <v>3</v>
      </c>
      <c r="C91" s="77" t="str">
        <f>'Value Creation Tracker'!C8</f>
        <v>Predictive collections analytics for early-bucket flows</v>
      </c>
      <c r="D91" t="str">
        <f>'Value Creation Tracker'!D8</f>
        <v>GNPA %</v>
      </c>
      <c r="E91" s="173">
        <f>'Value Creation Tracker'!G8</f>
        <v>60</v>
      </c>
      <c r="F91" t="s">
        <v>740</v>
      </c>
      <c r="G91" s="35"/>
    </row>
    <row r="92" spans="2:7" ht="28.8" x14ac:dyDescent="0.3">
      <c r="B92" s="176">
        <v>4</v>
      </c>
      <c r="C92" s="77" t="str">
        <f>'Value Creation Tracker'!C6</f>
        <v>Digital/DSA channel mix optimisation to lower CAC</v>
      </c>
      <c r="D92" t="str">
        <f>'Value Creation Tracker'!D6</f>
        <v>Customer Acquisition Cost (₹)</v>
      </c>
      <c r="E92" s="173">
        <f>'Value Creation Tracker'!G6</f>
        <v>45</v>
      </c>
      <c r="F92" t="s">
        <v>741</v>
      </c>
      <c r="G92" s="35"/>
    </row>
    <row r="93" spans="2:7" ht="43.2" x14ac:dyDescent="0.3">
      <c r="B93" s="176">
        <v>5</v>
      </c>
      <c r="C93" s="77" t="str">
        <f>'Value Creation Tracker'!C9</f>
        <v>Cross-sell to existing customer base via analytics-led targeting</v>
      </c>
      <c r="D93" t="str">
        <f>'Value Creation Tracker'!D9</f>
        <v>Repeat / Cross-sell Rate %</v>
      </c>
      <c r="E93" s="173">
        <f>'Value Creation Tracker'!G9</f>
        <v>35</v>
      </c>
      <c r="F93" t="s">
        <v>742</v>
      </c>
      <c r="G93" s="35"/>
    </row>
    <row r="94" spans="2:7" x14ac:dyDescent="0.3">
      <c r="B94" s="178" t="s">
        <v>743</v>
      </c>
      <c r="C94" s="24"/>
      <c r="D94" s="24"/>
      <c r="E94" s="174">
        <f>SUM(E89:E93)</f>
        <v>350</v>
      </c>
      <c r="F94" s="24"/>
      <c r="G94" s="109"/>
    </row>
  </sheetData>
  <mergeCells count="14">
    <mergeCell ref="B2:G3"/>
    <mergeCell ref="B1:G1"/>
    <mergeCell ref="B87:F87"/>
    <mergeCell ref="B5:G5"/>
    <mergeCell ref="B58:E58"/>
    <mergeCell ref="B70:C70"/>
    <mergeCell ref="B72:C72"/>
    <mergeCell ref="B74:C74"/>
    <mergeCell ref="B76:C76"/>
    <mergeCell ref="B78:C78"/>
    <mergeCell ref="B80:C80"/>
    <mergeCell ref="B82:C82"/>
    <mergeCell ref="B84:C84"/>
    <mergeCell ref="D70:G77"/>
  </mergeCells>
  <conditionalFormatting sqref="E7:E16">
    <cfRule type="containsText" dxfId="2" priority="1" operator="containsText" text="GREEN">
      <formula>NOT(ISERROR(SEARCH("GREEN",E7)))</formula>
    </cfRule>
    <cfRule type="containsText" dxfId="1" priority="2" operator="containsText" text="YELLOW">
      <formula>NOT(ISERROR(SEARCH("YELLOW",E7)))</formula>
    </cfRule>
    <cfRule type="containsText" dxfId="0" priority="3" operator="containsText" text="RED">
      <formula>NOT(ISERROR(SEARCH("RED",E7)))</formula>
    </cfRule>
  </conditionalFormatting>
  <hyperlinks>
    <hyperlink ref="I1" location="Home!A1" tooltip="Back to Home / Index" display="⌂ Home" xr:uid="{777B39BC-0063-4528-88AD-896F5D0985CA}"/>
  </hyperlinks>
  <pageMargins left="1" right="1" top="1" bottom="1" header="0.5" footer="0.5"/>
  <pageSetup scale="35" orientation="portrait" r:id="rId1"/>
  <drawing r:id="rId2"/>
  <legacy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07D4-B963-40DC-B9C8-7133230EC8AA}">
  <sheetPr>
    <tabColor rgb="FFFFD966"/>
  </sheetPr>
  <dimension ref="B1:J56"/>
  <sheetViews>
    <sheetView showGridLines="0" zoomScaleNormal="100" workbookViewId="0">
      <selection activeCell="F4" sqref="F1:K1048576"/>
    </sheetView>
  </sheetViews>
  <sheetFormatPr defaultRowHeight="14.4" x14ac:dyDescent="0.3"/>
  <cols>
    <col min="1" max="1" width="1.77734375" customWidth="1"/>
    <col min="2" max="2" width="51.88671875" customWidth="1"/>
    <col min="3" max="4" width="18.5546875" customWidth="1"/>
    <col min="5" max="5" width="38.109375" customWidth="1"/>
    <col min="7" max="10" width="8.88671875" customWidth="1"/>
  </cols>
  <sheetData>
    <row r="1" spans="2:10" ht="24" customHeight="1" x14ac:dyDescent="0.3">
      <c r="B1" s="505" t="s">
        <v>509</v>
      </c>
      <c r="C1" s="549"/>
      <c r="D1" s="549"/>
      <c r="E1" s="549"/>
      <c r="F1" s="550"/>
      <c r="J1" s="269" t="s">
        <v>891</v>
      </c>
    </row>
    <row r="2" spans="2:10" ht="36" customHeight="1" x14ac:dyDescent="0.3">
      <c r="B2" s="508" t="s">
        <v>510</v>
      </c>
      <c r="C2" s="551"/>
      <c r="D2" s="551"/>
      <c r="E2" s="551"/>
      <c r="F2" s="552"/>
    </row>
    <row r="3" spans="2:10" ht="72.599999999999994" customHeight="1" x14ac:dyDescent="0.3">
      <c r="B3" s="677" t="s">
        <v>1324</v>
      </c>
      <c r="C3" s="622"/>
      <c r="D3" s="622"/>
      <c r="E3" s="622"/>
      <c r="F3" s="678"/>
    </row>
    <row r="4" spans="2:10" x14ac:dyDescent="0.3">
      <c r="B4" s="28" t="s">
        <v>511</v>
      </c>
      <c r="C4" s="4"/>
      <c r="D4" s="4"/>
      <c r="E4" s="4"/>
      <c r="F4" s="81"/>
    </row>
    <row r="5" spans="2:10" ht="17.399999999999999" x14ac:dyDescent="0.35">
      <c r="B5" s="26" t="s">
        <v>512</v>
      </c>
      <c r="C5" s="400" t="s">
        <v>513</v>
      </c>
      <c r="F5" s="35"/>
    </row>
    <row r="6" spans="2:10" x14ac:dyDescent="0.3">
      <c r="B6" s="26" t="s">
        <v>514</v>
      </c>
      <c r="C6">
        <f>MATCH(C5,{"Base","Upside","Downside"},0)</f>
        <v>1</v>
      </c>
      <c r="F6" s="35"/>
    </row>
    <row r="7" spans="2:10" x14ac:dyDescent="0.3">
      <c r="B7" s="26"/>
      <c r="F7" s="35"/>
    </row>
    <row r="8" spans="2:10" x14ac:dyDescent="0.3">
      <c r="B8" s="28" t="s">
        <v>515</v>
      </c>
      <c r="C8" s="4"/>
      <c r="D8" s="4"/>
      <c r="E8" s="4"/>
      <c r="F8" s="81"/>
    </row>
    <row r="9" spans="2:10" ht="15" thickBot="1" x14ac:dyDescent="0.35">
      <c r="B9" s="47" t="s">
        <v>3</v>
      </c>
      <c r="C9" s="48" t="s">
        <v>513</v>
      </c>
      <c r="D9" s="49" t="s">
        <v>516</v>
      </c>
      <c r="E9" s="112" t="s">
        <v>517</v>
      </c>
      <c r="F9" s="263"/>
    </row>
    <row r="10" spans="2:10" x14ac:dyDescent="0.3">
      <c r="B10" s="26" t="s">
        <v>518</v>
      </c>
      <c r="C10" s="232">
        <v>1</v>
      </c>
      <c r="D10" s="401">
        <v>1.1499999999999999</v>
      </c>
      <c r="E10" s="401">
        <v>0.85</v>
      </c>
      <c r="F10" s="35"/>
    </row>
    <row r="11" spans="2:10" x14ac:dyDescent="0.3">
      <c r="B11" s="26" t="s">
        <v>519</v>
      </c>
      <c r="C11" s="402">
        <v>0</v>
      </c>
      <c r="D11" s="255">
        <v>3.0000000000000001E-3</v>
      </c>
      <c r="E11" s="255">
        <v>-3.0000000000000001E-3</v>
      </c>
      <c r="F11" s="35"/>
    </row>
    <row r="12" spans="2:10" x14ac:dyDescent="0.3">
      <c r="B12" s="26" t="s">
        <v>520</v>
      </c>
      <c r="C12" s="402">
        <v>0</v>
      </c>
      <c r="D12" s="255">
        <v>-2E-3</v>
      </c>
      <c r="E12" s="255">
        <v>4.0000000000000001E-3</v>
      </c>
      <c r="F12" s="35"/>
    </row>
    <row r="13" spans="2:10" x14ac:dyDescent="0.3">
      <c r="B13" s="26" t="s">
        <v>521</v>
      </c>
      <c r="C13" s="402">
        <v>0</v>
      </c>
      <c r="D13" s="255">
        <v>-3.0000000000000001E-3</v>
      </c>
      <c r="E13" s="255">
        <v>6.0000000000000001E-3</v>
      </c>
      <c r="F13" s="35"/>
    </row>
    <row r="14" spans="2:10" x14ac:dyDescent="0.3">
      <c r="B14" s="26"/>
      <c r="F14" s="35"/>
    </row>
    <row r="15" spans="2:10" x14ac:dyDescent="0.3">
      <c r="B15" s="33" t="s">
        <v>522</v>
      </c>
      <c r="F15" s="35"/>
    </row>
    <row r="16" spans="2:10" x14ac:dyDescent="0.3">
      <c r="B16" s="26" t="s">
        <v>523</v>
      </c>
      <c r="C16" s="249">
        <f>CHOOSE($C$6,C10,D10,E10)</f>
        <v>1</v>
      </c>
      <c r="F16" s="35"/>
    </row>
    <row r="17" spans="2:6" x14ac:dyDescent="0.3">
      <c r="B17" s="26" t="s">
        <v>524</v>
      </c>
      <c r="C17" s="89">
        <f>CHOOSE($C$6,C11,D11,E11)</f>
        <v>0</v>
      </c>
      <c r="F17" s="35"/>
    </row>
    <row r="18" spans="2:6" x14ac:dyDescent="0.3">
      <c r="B18" s="26" t="s">
        <v>525</v>
      </c>
      <c r="C18" s="89">
        <f>CHOOSE($C$6,C12,D12,E12)</f>
        <v>0</v>
      </c>
      <c r="F18" s="35"/>
    </row>
    <row r="19" spans="2:6" x14ac:dyDescent="0.3">
      <c r="B19" s="26" t="s">
        <v>526</v>
      </c>
      <c r="C19" s="89">
        <f>CHOOSE($C$6,C13,D13,E13)</f>
        <v>0</v>
      </c>
      <c r="F19" s="35"/>
    </row>
    <row r="20" spans="2:6" x14ac:dyDescent="0.3">
      <c r="B20" s="26"/>
      <c r="F20" s="35"/>
    </row>
    <row r="21" spans="2:6" x14ac:dyDescent="0.3">
      <c r="B21" s="28" t="s">
        <v>533</v>
      </c>
      <c r="C21" s="4"/>
      <c r="D21" s="4"/>
      <c r="E21" s="4"/>
      <c r="F21" s="81"/>
    </row>
    <row r="22" spans="2:6" x14ac:dyDescent="0.3">
      <c r="B22" s="27" t="s">
        <v>3</v>
      </c>
      <c r="C22" s="12" t="s">
        <v>513</v>
      </c>
      <c r="D22" s="323" t="s">
        <v>516</v>
      </c>
      <c r="E22" s="324" t="s">
        <v>517</v>
      </c>
      <c r="F22" s="35"/>
    </row>
    <row r="23" spans="2:6" x14ac:dyDescent="0.3">
      <c r="B23" s="26" t="s">
        <v>262</v>
      </c>
      <c r="C23" s="15">
        <v>258441.78</v>
      </c>
      <c r="D23" s="15">
        <v>284759.14</v>
      </c>
      <c r="E23" s="15">
        <v>232124.42</v>
      </c>
      <c r="F23" s="35"/>
    </row>
    <row r="24" spans="2:6" x14ac:dyDescent="0.3">
      <c r="B24" s="26" t="s">
        <v>444</v>
      </c>
      <c r="C24" s="402">
        <v>0.24329999999999999</v>
      </c>
      <c r="D24" s="402">
        <v>0.25180000000000002</v>
      </c>
      <c r="E24" s="402">
        <v>0.2331</v>
      </c>
      <c r="F24" s="35"/>
    </row>
    <row r="25" spans="2:6" x14ac:dyDescent="0.3">
      <c r="B25" s="26" t="s">
        <v>286</v>
      </c>
      <c r="C25" s="402">
        <v>0.127</v>
      </c>
      <c r="D25" s="402">
        <v>0.13</v>
      </c>
      <c r="E25" s="402">
        <v>0.124</v>
      </c>
      <c r="F25" s="35"/>
    </row>
    <row r="26" spans="2:6" x14ac:dyDescent="0.3">
      <c r="B26" s="26" t="s">
        <v>287</v>
      </c>
      <c r="C26" s="402">
        <v>7.0000000000000007E-2</v>
      </c>
      <c r="D26" s="402">
        <v>6.8000000000000005E-2</v>
      </c>
      <c r="E26" s="402">
        <v>7.3999999999999996E-2</v>
      </c>
      <c r="F26" s="35"/>
    </row>
    <row r="27" spans="2:6" x14ac:dyDescent="0.3">
      <c r="B27" s="26" t="s">
        <v>239</v>
      </c>
      <c r="C27" s="402">
        <v>0.29430000000000001</v>
      </c>
      <c r="D27" s="402">
        <v>0.255</v>
      </c>
      <c r="E27" s="402">
        <v>0.35210000000000002</v>
      </c>
      <c r="F27" s="35"/>
    </row>
    <row r="28" spans="2:6" x14ac:dyDescent="0.3">
      <c r="B28" s="31" t="s">
        <v>507</v>
      </c>
      <c r="C28" s="328">
        <v>7211.28</v>
      </c>
      <c r="D28" s="328">
        <v>9772.64</v>
      </c>
      <c r="E28" s="328">
        <v>4175.9799999999996</v>
      </c>
      <c r="F28" s="35"/>
    </row>
    <row r="29" spans="2:6" x14ac:dyDescent="0.3">
      <c r="B29" s="26" t="s">
        <v>228</v>
      </c>
      <c r="C29" s="402">
        <v>2.87E-2</v>
      </c>
      <c r="D29" s="402">
        <v>3.5400000000000001E-2</v>
      </c>
      <c r="E29" s="402">
        <v>1.84E-2</v>
      </c>
      <c r="F29" s="35"/>
    </row>
    <row r="30" spans="2:6" x14ac:dyDescent="0.3">
      <c r="B30" s="106" t="s">
        <v>534</v>
      </c>
      <c r="C30" s="111">
        <v>0.1673</v>
      </c>
      <c r="D30" s="111">
        <v>0.2064</v>
      </c>
      <c r="E30" s="111">
        <v>0.1075</v>
      </c>
      <c r="F30" s="109"/>
    </row>
    <row r="31" spans="2:6" x14ac:dyDescent="0.3">
      <c r="B31" s="26"/>
      <c r="F31" s="35"/>
    </row>
    <row r="32" spans="2:6" x14ac:dyDescent="0.3">
      <c r="B32" s="28" t="s">
        <v>616</v>
      </c>
      <c r="C32" s="4"/>
      <c r="D32" s="4"/>
      <c r="E32" s="4"/>
      <c r="F32" s="81"/>
    </row>
    <row r="33" spans="2:6" ht="47.4" customHeight="1" x14ac:dyDescent="0.3">
      <c r="B33" s="679" t="s">
        <v>624</v>
      </c>
      <c r="C33" s="680"/>
      <c r="D33" s="680"/>
      <c r="E33" s="680"/>
      <c r="F33" s="681"/>
    </row>
    <row r="34" spans="2:6" x14ac:dyDescent="0.3">
      <c r="B34" s="26"/>
      <c r="F34" s="35"/>
    </row>
    <row r="35" spans="2:6" x14ac:dyDescent="0.3">
      <c r="B35" s="567" t="s">
        <v>1235</v>
      </c>
      <c r="C35" s="524"/>
      <c r="D35" s="524"/>
      <c r="E35" s="524"/>
      <c r="F35" s="35"/>
    </row>
    <row r="36" spans="2:6" x14ac:dyDescent="0.3">
      <c r="B36" s="175" t="s">
        <v>780</v>
      </c>
      <c r="C36" s="12" t="s">
        <v>257</v>
      </c>
      <c r="D36" s="12" t="s">
        <v>261</v>
      </c>
      <c r="E36" s="12" t="s">
        <v>1236</v>
      </c>
      <c r="F36" s="35"/>
    </row>
    <row r="37" spans="2:6" ht="24.6" x14ac:dyDescent="0.3">
      <c r="B37" s="26" t="s">
        <v>1237</v>
      </c>
      <c r="C37" s="76">
        <f>'Regulatory Capital'!D32</f>
        <v>0.18601956223687177</v>
      </c>
      <c r="D37" s="76">
        <f>'Regulatory Capital'!H32</f>
        <v>0.18568020032047608</v>
      </c>
      <c r="E37" s="293" t="s">
        <v>1238</v>
      </c>
      <c r="F37" s="35"/>
    </row>
    <row r="38" spans="2:6" ht="24.6" x14ac:dyDescent="0.3">
      <c r="B38" s="26" t="s">
        <v>1239</v>
      </c>
      <c r="C38" s="344">
        <f>'Regulatory Capital'!D26</f>
        <v>95068.684013829043</v>
      </c>
      <c r="D38" s="344">
        <f>'Regulatory Capital'!H26</f>
        <v>288325.41480121296</v>
      </c>
      <c r="E38" s="293" t="s">
        <v>1240</v>
      </c>
      <c r="F38" s="35"/>
    </row>
    <row r="39" spans="2:6" ht="24.6" x14ac:dyDescent="0.3">
      <c r="B39" s="31" t="s">
        <v>1241</v>
      </c>
      <c r="C39" s="347">
        <f>'Regulatory Capital'!C60</f>
        <v>18364.26147261291</v>
      </c>
      <c r="E39" s="293" t="s">
        <v>1242</v>
      </c>
      <c r="F39" s="35"/>
    </row>
    <row r="40" spans="2:6" ht="24.6" x14ac:dyDescent="0.3">
      <c r="B40" s="26" t="s">
        <v>1243</v>
      </c>
      <c r="C40" s="344">
        <f>SUM('Regulatory Capital'!D46:H46)</f>
        <v>23186.073191605417</v>
      </c>
      <c r="E40" s="293" t="s">
        <v>1244</v>
      </c>
      <c r="F40" s="35"/>
    </row>
    <row r="41" spans="2:6" x14ac:dyDescent="0.3">
      <c r="B41" s="26" t="s">
        <v>1245</v>
      </c>
      <c r="C41" s="344">
        <f>'Regulatory Capital'!H52</f>
        <v>240916.74697101788</v>
      </c>
      <c r="E41" s="293" t="s">
        <v>1246</v>
      </c>
      <c r="F41" s="35"/>
    </row>
    <row r="42" spans="2:6" x14ac:dyDescent="0.3">
      <c r="B42" s="26" t="s">
        <v>1247</v>
      </c>
      <c r="C42" s="344">
        <f>'Regulatory Capital'!H53</f>
        <v>246011.83189515059</v>
      </c>
      <c r="E42" s="293"/>
      <c r="F42" s="35"/>
    </row>
    <row r="43" spans="2:6" ht="24.6" x14ac:dyDescent="0.3">
      <c r="B43" s="31" t="s">
        <v>1248</v>
      </c>
      <c r="C43" s="347">
        <f>'Regulatory Capital'!H54</f>
        <v>5095.0849241327087</v>
      </c>
      <c r="E43" s="293" t="s">
        <v>1249</v>
      </c>
      <c r="F43" s="35"/>
    </row>
    <row r="44" spans="2:6" x14ac:dyDescent="0.3">
      <c r="B44" s="26"/>
      <c r="F44" s="35"/>
    </row>
    <row r="45" spans="2:6" x14ac:dyDescent="0.3">
      <c r="B45" s="567" t="s">
        <v>1270</v>
      </c>
      <c r="C45" s="524"/>
      <c r="D45" s="524"/>
      <c r="E45" s="524"/>
      <c r="F45" s="35"/>
    </row>
    <row r="46" spans="2:6" x14ac:dyDescent="0.3">
      <c r="B46" s="175" t="s">
        <v>780</v>
      </c>
      <c r="C46" s="12" t="s">
        <v>513</v>
      </c>
      <c r="D46" s="12" t="s">
        <v>516</v>
      </c>
      <c r="E46" s="12" t="s">
        <v>517</v>
      </c>
      <c r="F46" s="35"/>
    </row>
    <row r="47" spans="2:6" x14ac:dyDescent="0.3">
      <c r="B47" s="26" t="s">
        <v>1250</v>
      </c>
      <c r="C47" s="347">
        <v>18364</v>
      </c>
      <c r="D47" s="347">
        <v>16918</v>
      </c>
      <c r="E47" s="347">
        <v>21032</v>
      </c>
      <c r="F47" s="35"/>
    </row>
    <row r="48" spans="2:6" x14ac:dyDescent="0.3">
      <c r="B48" s="26" t="s">
        <v>1251</v>
      </c>
      <c r="C48" s="344">
        <v>23186</v>
      </c>
      <c r="D48" s="344">
        <v>30486</v>
      </c>
      <c r="E48" s="344">
        <v>14405</v>
      </c>
      <c r="F48" s="35"/>
    </row>
    <row r="49" spans="2:6" x14ac:dyDescent="0.3">
      <c r="B49" s="26" t="s">
        <v>1252</v>
      </c>
      <c r="C49" s="347">
        <v>5095</v>
      </c>
      <c r="D49" s="347">
        <v>-1218</v>
      </c>
      <c r="E49" s="347">
        <v>13219</v>
      </c>
      <c r="F49" s="35"/>
    </row>
    <row r="50" spans="2:6" x14ac:dyDescent="0.3">
      <c r="B50" s="26" t="s">
        <v>1253</v>
      </c>
      <c r="C50" s="344">
        <v>288325</v>
      </c>
      <c r="D50" s="344">
        <v>320847</v>
      </c>
      <c r="E50" s="344">
        <v>254364</v>
      </c>
      <c r="F50" s="35"/>
    </row>
    <row r="51" spans="2:6" x14ac:dyDescent="0.3">
      <c r="B51" s="26" t="s">
        <v>1271</v>
      </c>
      <c r="C51">
        <f>C50*'Regulatory Capital'!$C$39</f>
        <v>51898.5</v>
      </c>
      <c r="D51">
        <f>D50*'Regulatory Capital'!$C$39</f>
        <v>57752.46</v>
      </c>
      <c r="E51">
        <f>E50*'Regulatory Capital'!$C$39</f>
        <v>45785.52</v>
      </c>
      <c r="F51" s="35"/>
    </row>
    <row r="52" spans="2:6" x14ac:dyDescent="0.3">
      <c r="B52" s="675" t="s">
        <v>1254</v>
      </c>
      <c r="C52" s="676"/>
      <c r="D52" s="676"/>
      <c r="E52" s="676"/>
      <c r="F52" s="35"/>
    </row>
    <row r="53" spans="2:6" ht="43.8" customHeight="1" x14ac:dyDescent="0.3">
      <c r="B53" s="671" t="str">
        <f>"In the Downside the company needs MORE external equity (₹"&amp;TEXT(E47,"#,##0")&amp;" Cr vs ₹"&amp;TEXT(C47,"#,##0")&amp;" Cr Base) despite carrying a SMALLER balance sheet (FY31E RWA ₹"&amp;TEXT(E50,"#,##0")&amp;" Cr vs ₹"&amp;TEXT(C50,"#,##0")&amp;" Cr). "&amp;"Retained earnings fall from ₹"&amp;TEXT(C48,"#,##0")&amp;" Cr to ₹"&amp;TEXT(E48,"#,##0")&amp;" Cr, so internal capital formation deteriorates faster than the requirement shrinks. Stress does not relieve the capital problem - it worsens it. "&amp;"Capital planning must therefore be sized off the Downside, not the Base."</f>
        <v>In the Downside the company needs MORE external equity (₹21,032 Cr vs ₹18,364 Cr Base) despite carrying a SMALLER balance sheet (FY31E RWA ₹2,54,364 Cr vs ₹2,88,325 Cr). Retained earnings fall from ₹23,186 Cr to ₹14,405 Cr, so internal capital formation deteriorates faster than the requirement shrinks. Stress does not relieve the capital problem - it worsens it. Capital planning must therefore be sized off the Downside, not the Base.</v>
      </c>
      <c r="C53" s="672"/>
      <c r="D53" s="672"/>
      <c r="E53" s="672"/>
      <c r="F53" s="35"/>
    </row>
    <row r="54" spans="2:6" x14ac:dyDescent="0.3">
      <c r="B54" s="26"/>
      <c r="F54" s="35"/>
    </row>
    <row r="55" spans="2:6" x14ac:dyDescent="0.3">
      <c r="B55" s="673" t="s">
        <v>1318</v>
      </c>
      <c r="C55" s="674"/>
      <c r="D55" s="674"/>
      <c r="E55" s="674"/>
      <c r="F55" s="35"/>
    </row>
    <row r="56" spans="2:6" ht="73.8" customHeight="1" x14ac:dyDescent="0.3">
      <c r="B56" s="649" t="str">
        <f>"Higher profitability does not mean lower capital dependence. The Upside carries the LARGEST absolute capital requirement of the three cases (₹"&amp;TEXT(D51,"#,##0")&amp;" Cr at target CRAR vs ₹"&amp;TEXT(C51,"#,##0")&amp;" Cr Base and ₹"&amp;TEXT(E51,"#,##0")&amp;" Cr Downside), because faster growth builds more RWA. It needs the LEAST external equity (₹"&amp;TEXT(D47,"#,##0")&amp;" Cr) only because retained earnings reach ₹"&amp;TEXT(D48,"#,##0")&amp;" Cr - it funds a bigger book out of its own profits. "&amp;"So a reader comparing only FY31E ROE (Upside "&amp;TEXT(D30,"0.0%")&amp;" vs Downside "&amp;TEXT(E30,"0.0%")&amp;") sees half the picture: the Upside wins on return and on external funding need, but it is the most capital-hungry case in absolute terms - "&amp;"and the Downside, not the Upside, is the case that dictates how much equity headroom must be pre-arranged with the board and the market."</f>
        <v>Higher profitability does not mean lower capital dependence. The Upside carries the LARGEST absolute capital requirement of the three cases (₹57,752 Cr at target CRAR vs ₹51,899 Cr Base and ₹45,786 Cr Downside), because faster growth builds more RWA. It needs the LEAST external equity (₹16,918 Cr) only because retained earnings reach ₹30,486 Cr - it funds a bigger book out of its own profits. So a reader comparing only FY31E ROE (Upside 20.6% vs Downside 10.8%) sees half the picture: the Upside wins on return and on external funding need, but it is the most capital-hungry case in absolute terms - and the Downside, not the Upside, is the case that dictates how much equity headroom must be pre-arranged with the board and the market.</v>
      </c>
      <c r="C56" s="650"/>
      <c r="D56" s="650"/>
      <c r="E56" s="650"/>
      <c r="F56" s="109"/>
    </row>
  </sheetData>
  <mergeCells count="10">
    <mergeCell ref="B1:F1"/>
    <mergeCell ref="B2:F2"/>
    <mergeCell ref="B33:F33"/>
    <mergeCell ref="B35:E35"/>
    <mergeCell ref="B45:E45"/>
    <mergeCell ref="B53:E53"/>
    <mergeCell ref="B55:E55"/>
    <mergeCell ref="B56:E56"/>
    <mergeCell ref="B52:E52"/>
    <mergeCell ref="B3:F3"/>
  </mergeCells>
  <dataValidations count="1">
    <dataValidation type="list" allowBlank="1" showInputMessage="1" showErrorMessage="1" sqref="C5" xr:uid="{8150CFAA-4146-48F5-B71D-C4937A70636D}">
      <formula1>"Base,Upside,Downside"</formula1>
    </dataValidation>
  </dataValidations>
  <hyperlinks>
    <hyperlink ref="J1" location="Home!A1" tooltip="Back to Home / Index" display="⌂ Home" xr:uid="{FC1A06F8-2570-463E-81BD-429F40BFD326}"/>
  </hyperlinks>
  <pageMargins left="0.25" right="0.25" top="0.75" bottom="0.75" header="0.3" footer="0.3"/>
  <pageSetup scale="92"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8A12C-211C-4418-88C4-88ED2C99DB81}">
  <sheetPr>
    <tabColor rgb="FF6A3D9A"/>
  </sheetPr>
  <dimension ref="B2:F14"/>
  <sheetViews>
    <sheetView showGridLines="0" workbookViewId="0">
      <selection activeCell="D1" sqref="D1:G1048576"/>
    </sheetView>
  </sheetViews>
  <sheetFormatPr defaultRowHeight="14.4" x14ac:dyDescent="0.3"/>
  <cols>
    <col min="1" max="1" width="1.77734375" customWidth="1"/>
    <col min="2" max="2" width="11.109375" customWidth="1"/>
    <col min="3" max="3" width="55.5546875" customWidth="1"/>
    <col min="4" max="4" width="59.21875" customWidth="1"/>
    <col min="5" max="6" width="8.88671875" customWidth="1"/>
  </cols>
  <sheetData>
    <row r="2" spans="2:6" ht="40.049999999999997" customHeight="1" x14ac:dyDescent="0.3">
      <c r="B2" s="683" t="s">
        <v>1121</v>
      </c>
      <c r="C2" s="684" t="s">
        <v>1425</v>
      </c>
      <c r="D2" s="684"/>
      <c r="F2" s="269" t="s">
        <v>891</v>
      </c>
    </row>
    <row r="3" spans="2:6" ht="7.95" customHeight="1" x14ac:dyDescent="0.3">
      <c r="B3" s="683"/>
    </row>
    <row r="4" spans="2:6" ht="61.95" customHeight="1" x14ac:dyDescent="0.3">
      <c r="B4" s="683"/>
      <c r="C4" s="530" t="s">
        <v>1122</v>
      </c>
      <c r="D4" s="530"/>
    </row>
    <row r="6" spans="2:6" x14ac:dyDescent="0.3">
      <c r="B6" s="682" t="s">
        <v>1072</v>
      </c>
      <c r="C6" s="682"/>
      <c r="D6" s="682"/>
    </row>
    <row r="7" spans="2:6" x14ac:dyDescent="0.3">
      <c r="C7" s="526" t="s">
        <v>1123</v>
      </c>
      <c r="D7" s="526"/>
    </row>
    <row r="8" spans="2:6" x14ac:dyDescent="0.3">
      <c r="C8" s="526" t="s">
        <v>1124</v>
      </c>
      <c r="D8" s="526"/>
    </row>
    <row r="9" spans="2:6" x14ac:dyDescent="0.3">
      <c r="C9" s="526" t="s">
        <v>1125</v>
      </c>
      <c r="D9" s="526"/>
    </row>
    <row r="11" spans="2:6" x14ac:dyDescent="0.3">
      <c r="B11" s="682" t="s">
        <v>1077</v>
      </c>
      <c r="C11" s="682"/>
      <c r="D11" s="682"/>
    </row>
    <row r="12" spans="2:6" x14ac:dyDescent="0.3">
      <c r="B12" s="340" t="s">
        <v>1462</v>
      </c>
      <c r="C12" s="285" t="s">
        <v>869</v>
      </c>
      <c r="D12" s="285" t="s">
        <v>1078</v>
      </c>
    </row>
    <row r="13" spans="2:6" ht="24" x14ac:dyDescent="0.3">
      <c r="B13" s="435" t="s">
        <v>1453</v>
      </c>
      <c r="C13" s="294" t="s">
        <v>884</v>
      </c>
      <c r="D13" s="295" t="s">
        <v>1126</v>
      </c>
    </row>
    <row r="14" spans="2:6" ht="24" x14ac:dyDescent="0.3">
      <c r="B14" s="435" t="s">
        <v>1454</v>
      </c>
      <c r="C14" s="294" t="s">
        <v>885</v>
      </c>
      <c r="D14" s="295" t="s">
        <v>1127</v>
      </c>
    </row>
  </sheetData>
  <mergeCells count="8">
    <mergeCell ref="C9:D9"/>
    <mergeCell ref="B11:D11"/>
    <mergeCell ref="B2:B4"/>
    <mergeCell ref="C2:D2"/>
    <mergeCell ref="C4:D4"/>
    <mergeCell ref="B6:D6"/>
    <mergeCell ref="C7:D7"/>
    <mergeCell ref="C8:D8"/>
  </mergeCells>
  <hyperlinks>
    <hyperlink ref="C13" location="'Management Recommendations'!A1" tooltip="Go to Management Recommendations" display="Management Recommendations" xr:uid="{0A7C0D70-A71C-4CBE-BB9D-06EA9D2F0B9C}"/>
    <hyperlink ref="C14" location="'Value Creation Tracker'!A1" tooltip="Go to Value Creation Tracker" display="Value Creation Tracker" xr:uid="{DC2672EC-1BDE-4DB2-954F-F149296C8399}"/>
    <hyperlink ref="F2" location="Home!A1" tooltip="Back to Home / Index" display="⌂ Home" xr:uid="{43DD572E-3DB5-4777-B452-39AB212620C9}"/>
  </hyperlinks>
  <pageMargins left="0.25" right="0.25" top="0.75" bottom="0.75" header="0.3" footer="0.3"/>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ED7-8F81-4EB1-AD92-F8CE000A2D41}">
  <sheetPr>
    <tabColor rgb="FFCBAACB"/>
  </sheetPr>
  <dimension ref="B1:J71"/>
  <sheetViews>
    <sheetView showGridLines="0" view="pageBreakPreview" zoomScale="60" zoomScaleNormal="100" workbookViewId="0">
      <selection activeCell="H3" sqref="H1:K1048576"/>
    </sheetView>
  </sheetViews>
  <sheetFormatPr defaultRowHeight="14.4" x14ac:dyDescent="0.3"/>
  <cols>
    <col min="1" max="1" width="1.77734375" customWidth="1"/>
    <col min="2" max="2" width="59.5546875" customWidth="1"/>
    <col min="3" max="3" width="31.44140625" customWidth="1"/>
    <col min="4" max="4" width="59.21875" customWidth="1"/>
    <col min="5" max="6" width="17.5546875" customWidth="1"/>
    <col min="9" max="10" width="8.88671875" customWidth="1"/>
  </cols>
  <sheetData>
    <row r="1" spans="2:10" ht="24" customHeight="1" x14ac:dyDescent="0.3">
      <c r="B1" s="505" t="s">
        <v>535</v>
      </c>
      <c r="C1" s="549"/>
      <c r="D1" s="549"/>
      <c r="E1" s="549"/>
      <c r="F1" s="549"/>
      <c r="G1" s="549"/>
      <c r="H1" s="550"/>
      <c r="J1" s="269" t="s">
        <v>891</v>
      </c>
    </row>
    <row r="2" spans="2:10" ht="27.6" customHeight="1" x14ac:dyDescent="0.3">
      <c r="B2" s="508" t="s">
        <v>1391</v>
      </c>
      <c r="C2" s="551"/>
      <c r="D2" s="551"/>
      <c r="E2" s="551"/>
      <c r="F2" s="551"/>
      <c r="G2" s="551"/>
      <c r="H2" s="552"/>
    </row>
    <row r="3" spans="2:10" x14ac:dyDescent="0.3">
      <c r="B3" s="26"/>
      <c r="H3" s="35"/>
    </row>
    <row r="4" spans="2:10" x14ac:dyDescent="0.3">
      <c r="B4" s="28" t="s">
        <v>536</v>
      </c>
      <c r="C4" s="4"/>
      <c r="D4" s="4"/>
      <c r="E4" s="4"/>
      <c r="F4" s="4"/>
      <c r="G4" s="4"/>
      <c r="H4" s="81"/>
    </row>
    <row r="5" spans="2:10" ht="28.8" customHeight="1" x14ac:dyDescent="0.3">
      <c r="B5" s="686" t="s">
        <v>1269</v>
      </c>
      <c r="C5" s="600"/>
      <c r="D5" t="str">
        <f>C41&amp;" — "&amp;TEXT(D41,"0.0%")&amp;" modelled RAROC"</f>
        <v>Business Loan — 37.6% modelled RAROC</v>
      </c>
      <c r="H5" s="35"/>
    </row>
    <row r="6" spans="2:10" x14ac:dyDescent="0.3">
      <c r="B6" s="686" t="s">
        <v>537</v>
      </c>
      <c r="C6" s="600"/>
      <c r="D6" t="str">
        <f>C42&amp;" — "&amp;TEXT(D42,"0.0%")&amp;" modelled RAROC"</f>
        <v>Instant Consumer Loan — 32.3% modelled RAROC</v>
      </c>
      <c r="H6" s="35"/>
    </row>
    <row r="7" spans="2:10" x14ac:dyDescent="0.3">
      <c r="B7" s="686" t="s">
        <v>538</v>
      </c>
      <c r="C7" s="600"/>
      <c r="D7" t="str">
        <f>C43&amp;" — "&amp;TEXT(D43,"0.0%")&amp;" modelled RAROC"</f>
        <v>Loan Against Property (LAP) — 1.1% modelled RAROC</v>
      </c>
      <c r="H7" s="35"/>
    </row>
    <row r="8" spans="2:10" x14ac:dyDescent="0.3">
      <c r="B8" s="702" t="str">
        <f>"SCREENING CONCLUSION, not an allocation instruction. On modelled RAROC the two strongest candidates are "&amp;C41&amp;" ("&amp;TEXT(D41,"0.0%")&amp;" on "&amp;TEXT(F41,"0.0%")&amp;" capital consumed) and "&amp;C42&amp;" ("&amp;TEXT(D42,"0.0%")&amp;" on "&amp;TEXT(F42,"0.0%")&amp;"), while "&amp;C43&amp;" screens weakest at "&amp;TEXT(D43,"0.0%")&amp;". "&amp;"WHAT THIS JUSTIFIES: directing incremental origination capacity toward the top two and capping further AUM concentration in the weakest, subject to validation. "&amp;"WHAT IT DOES NOT JUSTIFY: a hard capital reallocation. Product AUM and part of the yield are Company-disclosed (AR FY26 pg.116-119) and the capital denominator is regulatory, but cost of funds, opex and credit cost remain illustrative "&amp;"- see Product Profitability row 30 for the four inputs that would close that gap. Note also that the top-ranked product is SECURED, so here return and capital relief point the same way; that will not always hold."</f>
        <v>SCREENING CONCLUSION, not an allocation instruction. On modelled RAROC the two strongest candidates are Business Loan (37.6% on 13.5% capital consumed) and Instant Consumer Loan (32.3% on 22.5%), while Loan Against Property (LAP) screens weakest at 1.1%. WHAT THIS JUSTIFIES: directing incremental origination capacity toward the top two and capping further AUM concentration in the weakest, subject to validation. WHAT IT DOES NOT JUSTIFY: a hard capital reallocation. Product AUM and part of the yield are Company-disclosed (AR FY26 pg.116-119) and the capital denominator is regulatory, but cost of funds, opex and credit cost remain illustrative - see Product Profitability row 30 for the four inputs that would close that gap. Note also that the top-ranked product is SECURED, so here return and capital relief point the same way; that will not always hold.</v>
      </c>
      <c r="C8" s="703"/>
      <c r="D8" s="703"/>
      <c r="E8" s="703"/>
      <c r="F8" s="703"/>
      <c r="G8" s="703"/>
      <c r="H8" s="704"/>
    </row>
    <row r="9" spans="2:10" x14ac:dyDescent="0.3">
      <c r="B9" s="26"/>
      <c r="H9" s="35"/>
    </row>
    <row r="10" spans="2:10" x14ac:dyDescent="0.3">
      <c r="B10" s="28" t="s">
        <v>539</v>
      </c>
      <c r="C10" s="4"/>
      <c r="D10" s="4"/>
      <c r="E10" s="4"/>
      <c r="F10" s="4"/>
      <c r="G10" s="4"/>
      <c r="H10" s="81"/>
    </row>
    <row r="11" spans="2:10" ht="28.8" customHeight="1" x14ac:dyDescent="0.3">
      <c r="B11" s="686" t="s">
        <v>1319</v>
      </c>
      <c r="C11" s="600"/>
      <c r="D11" t="str">
        <f>TEXT('Branch Profitability'!C16,"0.00;(0.00)")&amp;" → "&amp;TEXT('Branch Profitability'!D16,"0.00;(0.00)")&amp;" → "&amp;TEXT('Branch Profitability'!E16,"0.00;(0.00)")&amp;" → "&amp;TEXT('Branch Profitability'!F16,"0.00;(0.00)")&amp;" ₹ Cr"</f>
        <v>0.82 → 1.08 → (0.15) → 0.60 ₹ Cr</v>
      </c>
      <c r="H11" s="35"/>
    </row>
    <row r="12" spans="2:10" x14ac:dyDescent="0.3">
      <c r="B12" s="702" t="str">
        <f>"The series above is not a straight line: FY2025 was NEGATIVE at ₹("&amp;TEXT(-'Branch Profitability'!E16,"0.00")&amp;") Cr per branch before recovering to ₹"&amp;TEXT('Branch Profitability'!F16,"0.00")&amp;" Cr in FY2026, and the network total of ₹"&amp;TEXT('Branch Profitability'!F17,"#,##0")&amp;" Cr still sits ₹"&amp;TEXT(-'Branch Profitability'!F22,"#,##0")&amp;" Cr below actual PAT. "&amp;"WHAT THE DISCLOSED DATA SUPPORTS: continuing the expansion pace in Assumptions row 13. AUM per branch (Business Drivers row 30) rises every year, and the FY2026 build-out of 400 gold-loan branches, "&amp;"&gt;90% of them Tier II/III (AR pg.2), is a validated fast-scaling secured channel. "&amp;"WHAT IT DOES NOT SUPPORT: choosing between individual branches, formats or vintages. That needs branch-level MIS - revenue, opex and delinquency by branch and cohort - which is not disclosed. "&amp;"Treat the Branch Profitability tab as the METHOD for building branch contribution, not as evidence about any particular branch or format."</f>
        <v>The series above is not a straight line: FY2025 was NEGATIVE at ₹(0.15) Cr per branch before recovering to ₹0.60 Cr in FY2026, and the network total of ₹302 Cr still sits ₹240 Cr below actual PAT. WHAT THE DISCLOSED DATA SUPPORTS: continuing the expansion pace in Assumptions row 13. AUM per branch (Business Drivers row 30) rises every year, and the FY2026 build-out of 400 gold-loan branches, &gt;90% of them Tier II/III (AR pg.2), is a validated fast-scaling secured channel. WHAT IT DOES NOT SUPPORT: choosing between individual branches, formats or vintages. That needs branch-level MIS - revenue, opex and delinquency by branch and cohort - which is not disclosed. Treat the Branch Profitability tab as the METHOD for building branch contribution, not as evidence about any particular branch or format.</v>
      </c>
      <c r="C12" s="703"/>
      <c r="D12" s="703"/>
      <c r="E12" s="703"/>
      <c r="F12" s="703"/>
      <c r="G12" s="703"/>
      <c r="H12" s="704"/>
    </row>
    <row r="13" spans="2:10" x14ac:dyDescent="0.3">
      <c r="B13" s="26"/>
      <c r="H13" s="35"/>
    </row>
    <row r="14" spans="2:10" x14ac:dyDescent="0.3">
      <c r="B14" s="28" t="s">
        <v>540</v>
      </c>
      <c r="C14" s="4"/>
      <c r="D14" s="4"/>
      <c r="E14" s="4"/>
      <c r="F14" s="4"/>
      <c r="G14" s="4"/>
      <c r="H14" s="81"/>
    </row>
    <row r="15" spans="2:10" x14ac:dyDescent="0.3">
      <c r="B15" s="686" t="s">
        <v>1364</v>
      </c>
      <c r="C15" s="600"/>
      <c r="D15" s="415" t="str">
        <f>'Operating Cost Forecast'!C45&amp;" +"&amp;TEXT('Operating Cost Forecast'!E45,"0.0%")&amp;", "&amp;'Operating Cost Forecast'!C46&amp;" +"&amp;TEXT('Operating Cost Forecast'!E46,"0.0%")&amp;" (slowest: "&amp;'Operating Cost Forecast'!C47&amp;" +"&amp;TEXT('Operating Cost Forecast'!E47,"0.0%")&amp;")"</f>
        <v>Branch Cost +37.8%, Employee Cost +37.8% (slowest: Other Operating Expenses +3.5%)</v>
      </c>
      <c r="H15" s="35"/>
    </row>
    <row r="16" spans="2:10" ht="31.8" customHeight="1" x14ac:dyDescent="0.3">
      <c r="B16" s="686" t="s">
        <v>1399</v>
      </c>
      <c r="C16" s="600"/>
      <c r="D16" s="405" t="str">
        <f>TEXT(('Profit &amp; Loss'!H21+'Profit &amp; Loss'!H22+'Profit &amp; Loss'!H23)/('Profit &amp; Loss'!H15-'Profit &amp; Loss'!H17),"0.0%")&amp;" (FY26A) → "&amp;TEXT(('Profit &amp; Loss'!M21+'Profit &amp; Loss'!M22+'Profit &amp; Loss'!M23)/('Profit &amp; Loss'!M15-'Profit &amp; Loss'!M17),"0.0%")&amp;" (FY31E)"</f>
        <v>52.0% (FY26A) → 27.8% (FY31E)</v>
      </c>
      <c r="H16" s="35"/>
    </row>
    <row r="17" spans="2:8" x14ac:dyDescent="0.3">
      <c r="B17" s="702" t="str">
        <f>"The two fastest-growing lines are "&amp;'Operating Cost Forecast'!C45&amp;" and "&amp;'Operating Cost Forecast'!C46&amp;" - both NETWORK-BUILD costs, not inefficiency. Cutting them cuts growth, so they are not the place to start. "&amp;"Cost-to-income still falls from "&amp;TEXT(('Profit &amp; Loss'!H21+'Profit &amp; Loss'!H22+'Profit &amp; Loss'!H23)/('Profit &amp; Loss'!H15-'Profit &amp; Loss'!H17),"0.0%")&amp;" to "&amp;TEXT(('Profit &amp; Loss'!M21+'Profit &amp; Loss'!M22+'Profit &amp; Loss'!M23)/('Profit &amp; Loss'!M15-'Profit &amp; Loss'!M17),"0.0%")&amp;" because income compounds faster than cost - so the efficiency claim is CONDITIONAL on the AUM path, not independent of it. "&amp;"The three genuine levers, in order of leverage: (a) hold cost per branch flat in real terms while AUM per branch rises (Operating Cost Forecast row 13); "&amp;"(b) continue the employees-per-branch productivity glide (Assumptions row 14) via AI-led underwriting and collections (AR FY2026 pg.24-26); "&amp;"(c) keep marketing growth below disbursement growth through higher cross-sell (Business Drivers row 8), which lowers acquisition intensity. "&amp;"Marketing is NOT the fastest-growing line - an earlier version of this sheet said it was, and that was wrong."</f>
        <v>The two fastest-growing lines are Branch Cost and Employee Cost - both NETWORK-BUILD costs, not inefficiency. Cutting them cuts growth, so they are not the place to start. Cost-to-income still falls from 52.0% to 27.8% because income compounds faster than cost - so the efficiency claim is CONDITIONAL on the AUM path, not independent of it. The three genuine levers, in order of leverage: (a) hold cost per branch flat in real terms while AUM per branch rises (Operating Cost Forecast row 13); (b) continue the employees-per-branch productivity glide (Assumptions row 14) via AI-led underwriting and collections (AR FY2026 pg.24-26); (c) keep marketing growth below disbursement growth through higher cross-sell (Business Drivers row 8), which lowers acquisition intensity. Marketing is NOT the fastest-growing line - an earlier version of this sheet said it was, and that was wrong.</v>
      </c>
      <c r="C17" s="703"/>
      <c r="D17" s="703"/>
      <c r="E17" s="703"/>
      <c r="F17" s="703"/>
      <c r="G17" s="703"/>
      <c r="H17" s="704"/>
    </row>
    <row r="18" spans="2:8" x14ac:dyDescent="0.3">
      <c r="B18" s="26"/>
      <c r="H18" s="35"/>
    </row>
    <row r="19" spans="2:8" x14ac:dyDescent="0.3">
      <c r="B19" s="28" t="s">
        <v>541</v>
      </c>
      <c r="C19" s="4"/>
      <c r="D19" s="4"/>
      <c r="E19" s="4"/>
      <c r="F19" s="4"/>
      <c r="G19" s="4"/>
      <c r="H19" s="81"/>
    </row>
    <row r="20" spans="2:8" ht="28.8" customHeight="1" x14ac:dyDescent="0.3">
      <c r="B20" s="686" t="s">
        <v>549</v>
      </c>
      <c r="C20" s="600"/>
      <c r="D20" t="str">
        <f>TEXT(SUM('Balance Sheet'!I60:M60),"#,##0")&amp;" ₹ Cr"</f>
        <v>18,364 ₹ Cr</v>
      </c>
      <c r="H20" s="35"/>
    </row>
    <row r="21" spans="2:8" x14ac:dyDescent="0.3">
      <c r="B21" s="702" t="str">
        <f>"DERIVED from the Regulatory Capital schedule, not an assumption. Holding the 18% target CRAR (15% NBFC-UL minimum + 3% buffer) against the forecast RWA profile requires ₹"&amp;TEXT('Regulatory Capital'!C60,"#,##0")&amp;" Cr of external equity over FY27E-31E: ₹"&amp;TEXT('Regulatory Capital'!C58,"#,##0")&amp;" Cr incremental net of retained earnings, plus ₹"&amp;TEXT('Regulatory Capital'!C59,"#,##0")&amp;" Cr one-off catch-up because FY26A capital already sits below target. "&amp;"FEASIBILITY: that is ₹"&amp;TEXT('Regulatory Capital'!C90,"#,##0")&amp;" Cr a year for five consecutive years, "&amp;TEXT('Regulatory Capital'!C91,"0.00")&amp;"x the largest raise the Company has executed (the ₹"&amp;TEXT('Regulatory Capital'!C89,"#,##0")&amp;" Cr FY2026 QIP). "&amp;"IF THE BOARD REFUSES ISSUANCE: FY2031E AUM caps at "&amp;TEXT('Regulatory Capital'!C82,"0.0%")&amp;" of plan and ₹"&amp;TEXT('Regulatory Capital'!C84,"#,##0")&amp;" Cr of FY2031E PAT is foregone (Regulatory Capital section 7). Dilution, timing and market-window risk are NOT modelled."</f>
        <v>DERIVED from the Regulatory Capital schedule, not an assumption. Holding the 18% target CRAR (15% NBFC-UL minimum + 3% buffer) against the forecast RWA profile requires ₹18,364 Cr of external equity over FY27E-31E: ₹15,874 Cr incremental net of retained earnings, plus ₹2,490 Cr one-off catch-up because FY26A capital already sits below target. FEASIBILITY: that is ₹3,673 Cr a year for five consecutive years, 1.47x the largest raise the Company has executed (the ₹2,500 Cr FY2026 QIP). IF THE BOARD REFUSES ISSUANCE: FY2031E AUM caps at 58.2% of plan and ₹3,278 Cr of FY2031E PAT is foregone (Regulatory Capital section 7). Dilution, timing and market-window risk are NOT modelled.</v>
      </c>
      <c r="C21" s="703"/>
      <c r="D21" s="703"/>
      <c r="E21" s="703"/>
      <c r="F21" s="703"/>
      <c r="G21" s="703"/>
      <c r="H21" s="704"/>
    </row>
    <row r="22" spans="2:8" x14ac:dyDescent="0.3">
      <c r="B22" s="209"/>
      <c r="C22" s="406"/>
      <c r="D22" s="406"/>
      <c r="E22" s="406"/>
      <c r="F22" s="406"/>
      <c r="G22" s="406"/>
      <c r="H22" s="210"/>
    </row>
    <row r="23" spans="2:8" x14ac:dyDescent="0.3">
      <c r="B23" s="686" t="s">
        <v>542</v>
      </c>
      <c r="C23" s="600"/>
      <c r="D23" t="str">
        <f>TEXT('Scenario Analysis'!E30,"0.0%")&amp;" (Downside) vs "&amp;TEXT('Scenario Analysis'!C30,"0.0%")&amp;" (Base) FY2031E ROE"</f>
        <v>10.8% (Downside) vs 16.7% (Base) FY2031E ROE</v>
      </c>
      <c r="H23" s="35"/>
    </row>
    <row r="24" spans="2:8" x14ac:dyDescent="0.3">
      <c r="B24" s="702" t="str">
        <f>"If GNPA and credit cost do not improve as assumed (Credit Cost Forecast tab), FY2031E ROE falls by "&amp;TEXT(('Scenario Analysis'!C30-'Scenario Analysis'!E30)*100,"0.0")&amp;" points and external equity need rises to ₹"&amp;TEXT('Scenario Analysis'!E47,"#,##0")&amp;" Cr. "&amp;"The entire profitability recovery depends on credit cost normalising from FY2026A's elevated ~2.5% to "&amp;TEXT('Credit Cost Forecast'!H10,"0.0%")&amp;" - an assumption stressed but NOT proven by this model (Credit Cost Forecast rows 19-21 sets out what does and does not support it)."</f>
        <v>If GNPA and credit cost do not improve as assumed (Credit Cost Forecast tab), FY2031E ROE falls by 6.0 points and external equity need rises to ₹21,032 Cr. The entire profitability recovery depends on credit cost normalising from FY2026A's elevated ~2.5% to 1.5% - an assumption stressed but NOT proven by this model (Credit Cost Forecast rows 19-21 sets out what does and does not support it).</v>
      </c>
      <c r="C24" s="703"/>
      <c r="D24" s="703"/>
      <c r="E24" s="703"/>
      <c r="F24" s="703"/>
      <c r="G24" s="703"/>
      <c r="H24" s="704"/>
    </row>
    <row r="25" spans="2:8" x14ac:dyDescent="0.3">
      <c r="B25" s="209"/>
      <c r="C25" s="406"/>
      <c r="D25" s="406"/>
      <c r="E25" s="406"/>
      <c r="F25" s="406"/>
      <c r="G25" s="406"/>
      <c r="H25" s="210"/>
    </row>
    <row r="26" spans="2:8" x14ac:dyDescent="0.3">
      <c r="B26" s="686" t="s">
        <v>550</v>
      </c>
      <c r="C26" s="600"/>
      <c r="D26" t="str">
        <f>TEXT('Balance Sheet'!M61,"0.00")&amp;"x"</f>
        <v>4.05x</v>
      </c>
      <c r="H26" s="35"/>
    </row>
    <row r="27" spans="2:8" x14ac:dyDescent="0.3">
      <c r="B27" s="702" t="str">
        <f>"With "&amp;TEXT('Funding Forecast'!H7,"0.0%")&amp;" of FY2031E AUM funded by borrowings (Funding Forecast row 7) and leverage at "&amp;TEXT('Balance Sheet'!M61,"0.00")&amp;"x by FY2031E, a Cost of Funds shock "&amp;"(the +40bps modelled in the Downside scenario) compresses NIM directly - Finance Costs are the single largest expense line in the Profit &amp; Loss forecast columns. "&amp;"Funding concentration is an availability risk as well as a price risk: borrowings are the residual funding requirement in the Balance Sheet, which assumes debt markets absorb that balance at the FY2026A instrument mix."</f>
        <v>With 81.3% of FY2031E AUM funded by borrowings (Funding Forecast row 7) and leverage at 4.05x by FY2031E, a Cost of Funds shock (the +40bps modelled in the Downside scenario) compresses NIM directly - Finance Costs are the single largest expense line in the Profit &amp; Loss forecast columns. Funding concentration is an availability risk as well as a price risk: borrowings are the residual funding requirement in the Balance Sheet, which assumes debt markets absorb that balance at the FY2026A instrument mix.</v>
      </c>
      <c r="C27" s="703"/>
      <c r="D27" s="703"/>
      <c r="E27" s="703"/>
      <c r="F27" s="703"/>
      <c r="G27" s="703"/>
      <c r="H27" s="704"/>
    </row>
    <row r="28" spans="2:8" x14ac:dyDescent="0.3">
      <c r="B28" s="26"/>
      <c r="H28" s="35"/>
    </row>
    <row r="29" spans="2:8" x14ac:dyDescent="0.3">
      <c r="B29" s="115" t="s">
        <v>543</v>
      </c>
      <c r="C29" s="4"/>
      <c r="D29" s="4"/>
      <c r="E29" s="4"/>
      <c r="F29" s="4"/>
      <c r="G29" s="4"/>
      <c r="H29" s="81"/>
    </row>
    <row r="30" spans="2:8" x14ac:dyDescent="0.3">
      <c r="B30" s="114" t="s">
        <v>544</v>
      </c>
      <c r="D30" t="str">
        <f>"Upside "&amp;TEXT('Scenario Analysis'!D30,"0.0%")&amp;" | Base "&amp;TEXT('Scenario Analysis'!C30,"0.0%")&amp;" | Downside "&amp;TEXT('Scenario Analysis'!E30,"0.0%")</f>
        <v>Upside 20.6% | Base 16.7% | Downside 10.8%</v>
      </c>
      <c r="H30" s="35"/>
    </row>
    <row r="31" spans="2:8" x14ac:dyDescent="0.3">
      <c r="B31" s="31" t="s">
        <v>545</v>
      </c>
      <c r="H31" s="35"/>
    </row>
    <row r="32" spans="2:8" x14ac:dyDescent="0.3">
      <c r="B32" s="705" t="s">
        <v>546</v>
      </c>
      <c r="C32" s="501"/>
      <c r="D32" s="501"/>
      <c r="E32" s="501"/>
      <c r="F32" s="501"/>
      <c r="G32" s="501"/>
      <c r="H32" s="706"/>
    </row>
    <row r="33" spans="2:8" x14ac:dyDescent="0.3">
      <c r="B33" s="705" t="str">
        <f>"  2. Product mix shift on capital-adjusted returns - "&amp;C41&amp;" and "&amp;C42&amp;" screen highest on modelled RAROC ("&amp;TEXT(D41,"0.0%")&amp;" / "&amp;TEXT(D42,"0.0%")&amp;") against "&amp;C43&amp;" at "&amp;TEXT(D43,"0.0%")&amp;"; "&amp;"tilting incremental origination there raises return per unit of regulatory capital consumed without relying on AUM growth alone. Subject to the section 1 caveat - these are screening ranks built on illustrative product cost lines."</f>
        <v xml:space="preserve">  2. Product mix shift on capital-adjusted returns - Business Loan and Instant Consumer Loan screen highest on modelled RAROC (37.6% / 32.3%) against Loan Against Property (LAP) at 1.1%; tilting incremental origination there raises return per unit of regulatory capital consumed without relying on AUM growth alone. Subject to the section 1 caveat - these are screening ranks built on illustrative product cost lines.</v>
      </c>
      <c r="C33" s="501"/>
      <c r="D33" s="501"/>
      <c r="E33" s="501"/>
      <c r="F33" s="501"/>
      <c r="G33" s="501"/>
      <c r="H33" s="706"/>
    </row>
    <row r="34" spans="2:8" x14ac:dyDescent="0.3">
      <c r="B34" s="705" t="s">
        <v>547</v>
      </c>
      <c r="C34" s="501"/>
      <c r="D34" s="501"/>
      <c r="E34" s="501"/>
      <c r="F34" s="501"/>
      <c r="G34" s="501"/>
      <c r="H34" s="706"/>
    </row>
    <row r="35" spans="2:8" x14ac:dyDescent="0.3">
      <c r="B35" s="705" t="str">
        <f>"  4. Cost of Funds management - NCD diversification and rating-driven funding cost reduction (Funding Forecast tab); the 40bps swing between scenarios is worth several ROE points given "&amp;TEXT('Funding Forecast'!H7,"0.0%")&amp;" of FY2031E AUM is debt-funded. "&amp;"This is the lowest-risk of the five levers: the model only assumes c.48bps of improvement over five years."</f>
        <v xml:space="preserve">  4. Cost of Funds management - NCD diversification and rating-driven funding cost reduction (Funding Forecast tab); the 40bps swing between scenarios is worth several ROE points given 81.3% of FY2031E AUM is debt-funded. This is the lowest-risk of the five levers: the model only assumes c.48bps of improvement over five years.</v>
      </c>
      <c r="C35" s="501"/>
      <c r="D35" s="501"/>
      <c r="E35" s="501"/>
      <c r="F35" s="501"/>
      <c r="G35" s="501"/>
      <c r="H35" s="706"/>
    </row>
    <row r="36" spans="2:8" x14ac:dyDescent="0.3">
      <c r="B36" s="699" t="str">
        <f>"  5. Capital efficiency - ₹"&amp;TEXT('Regulatory Capital'!C60,"#,##0")&amp;" Cr of external equity is needed through FY2031E to hold the 18% target CRAR, rising to ₹"&amp;TEXT('Scenario Analysis'!E47,"#,##0")&amp;" Cr in the Downside and falling to ₹"&amp;TEXT('Scenario Analysis'!D47,"#,##0")&amp;" Cr in the Upside. "&amp;"Capital, not origination capacity, is the binding constraint. "&amp;"Note the counter-intuitive point: the Upside needs the LEAST external equity but carries the LARGEST total capital requirement, because it funds a bigger book out of retained earnings (Scenario Analysis row 56)."</f>
        <v xml:space="preserve">  5. Capital efficiency - ₹18,364 Cr of external equity is needed through FY2031E to hold the 18% target CRAR, rising to ₹21,032 Cr in the Downside and falling to ₹16,918 Cr in the Upside. Capital, not origination capacity, is the binding constraint. Note the counter-intuitive point: the Upside needs the LEAST external equity but carries the LARGEST total capital requirement, because it funds a bigger book out of retained earnings (Scenario Analysis row 56).</v>
      </c>
      <c r="C36" s="700"/>
      <c r="D36" s="700"/>
      <c r="E36" s="700"/>
      <c r="F36" s="700"/>
      <c r="G36" s="700"/>
      <c r="H36" s="701"/>
    </row>
    <row r="37" spans="2:8" ht="32.4" customHeight="1" x14ac:dyDescent="0.3">
      <c r="B37" s="691" t="str">
        <f>"       Two levers relieve it: (a) shift mix toward secured lending to lower the blended risk weight from "&amp;TEXT('Regulatory Capital'!D18,"0.0%")&amp;", cutting RWA directly; (b) prioritise products by RAROC rather than headline ROE — Product Profitability now measures return per unit of regulatory capital consumed, which reorders the portfolio materially."</f>
        <v xml:space="preserve">       Two levers relieve it: (a) shift mix toward secured lending to lower the blended risk weight from 97.1%, cutting RWA directly; (b) prioritise products by RAROC rather than headline ROE — Product Profitability now measures return per unit of regulatory capital consumed, which reorders the portfolio materially.</v>
      </c>
      <c r="C37" s="692"/>
      <c r="D37" s="692"/>
      <c r="E37" s="692"/>
      <c r="F37" s="692"/>
      <c r="G37" s="692"/>
      <c r="H37" s="693"/>
    </row>
    <row r="38" spans="2:8" x14ac:dyDescent="0.3">
      <c r="B38" s="26"/>
      <c r="H38" s="35"/>
    </row>
    <row r="39" spans="2:8" x14ac:dyDescent="0.3">
      <c r="B39" s="336" t="s">
        <v>1260</v>
      </c>
      <c r="C39" s="365"/>
      <c r="D39" s="365"/>
      <c r="E39" s="365"/>
      <c r="F39" s="365"/>
      <c r="H39" s="35"/>
    </row>
    <row r="40" spans="2:8" ht="27.6" x14ac:dyDescent="0.3">
      <c r="B40" s="329" t="s">
        <v>1261</v>
      </c>
      <c r="C40" s="307" t="s">
        <v>266</v>
      </c>
      <c r="D40" s="307" t="s">
        <v>1262</v>
      </c>
      <c r="E40" s="307" t="s">
        <v>1263</v>
      </c>
      <c r="F40" s="308" t="s">
        <v>1264</v>
      </c>
      <c r="H40" s="35"/>
    </row>
    <row r="41" spans="2:8" x14ac:dyDescent="0.3">
      <c r="B41" s="407" t="s">
        <v>1265</v>
      </c>
      <c r="C41" s="310" t="str">
        <f>INDEX('Product Profitability'!$B$8:$B$19,MATCH(D41,'Product Profitability'!$L$8:$L$19,0))</f>
        <v>Business Loan</v>
      </c>
      <c r="D41" s="311">
        <f>_xlfn.MAXIFS('Product Profitability'!$L$8:$L$19,'Product Profitability'!$D$8:$D$19,"&gt;=300")</f>
        <v>0.37555555555555559</v>
      </c>
      <c r="E41" s="312">
        <f>INDEX('Product Profitability'!$D$8:$D$19,MATCH(D41,'Product Profitability'!$L$8:$L$19,0))</f>
        <v>7303</v>
      </c>
      <c r="F41" s="313">
        <f>INDEX('Product Profitability'!$K$8:$K$19,MATCH(D41,'Product Profitability'!$L$8:$L$19,0))</f>
        <v>0.13500000000000001</v>
      </c>
      <c r="H41" s="35"/>
    </row>
    <row r="42" spans="2:8" x14ac:dyDescent="0.3">
      <c r="B42" s="407" t="s">
        <v>1266</v>
      </c>
      <c r="C42" s="310" t="str">
        <f>INDEX('Product Profitability'!$B$8:$B$19,MATCH(D42,'Product Profitability'!$L$8:$L$19,0))</f>
        <v>Instant Consumer Loan</v>
      </c>
      <c r="D42" s="311">
        <f>_xlfn.MAXIFS('Product Profitability'!$L$8:$L$19,'Product Profitability'!$D$8:$D$19,"&gt;=300",'Product Profitability'!$L$8:$L$19,"&lt;"&amp;D41)</f>
        <v>0.32311111111111135</v>
      </c>
      <c r="E42" s="312">
        <f>INDEX('Product Profitability'!$D$8:$D$19,MATCH(D42,'Product Profitability'!$L$8:$L$19,0))</f>
        <v>11197</v>
      </c>
      <c r="F42" s="313">
        <f>INDEX('Product Profitability'!$K$8:$K$19,MATCH(D42,'Product Profitability'!$L$8:$L$19,0))</f>
        <v>0.22499999999999998</v>
      </c>
      <c r="H42" s="35"/>
    </row>
    <row r="43" spans="2:8" x14ac:dyDescent="0.3">
      <c r="B43" s="407" t="s">
        <v>1267</v>
      </c>
      <c r="C43" s="310" t="str">
        <f>INDEX('Product Profitability'!$B$8:$B$19,MATCH(D43,'Product Profitability'!$L$8:$L$19,0))</f>
        <v>Loan Against Property (LAP)</v>
      </c>
      <c r="D43" s="311">
        <f>_xlfn.MINIFS('Product Profitability'!$L$8:$L$19,'Product Profitability'!$D$8:$D$19,"&gt;=300")</f>
        <v>1.0740740740740776E-2</v>
      </c>
      <c r="E43" s="312">
        <f>INDEX('Product Profitability'!$D$8:$D$19,MATCH(D43,'Product Profitability'!$L$8:$L$19,0))</f>
        <v>16935</v>
      </c>
      <c r="F43" s="313">
        <f>INDEX('Product Profitability'!$K$8:$K$19,MATCH(D43,'Product Profitability'!$L$8:$L$19,0))</f>
        <v>0.13500000000000001</v>
      </c>
      <c r="H43" s="35"/>
    </row>
    <row r="44" spans="2:8" s="341" customFormat="1" ht="30" customHeight="1" x14ac:dyDescent="0.3">
      <c r="B44" s="689" t="s">
        <v>1268</v>
      </c>
      <c r="C44" s="690"/>
      <c r="D44" s="690"/>
      <c r="E44" s="690"/>
      <c r="F44" s="690"/>
      <c r="H44" s="408"/>
    </row>
    <row r="45" spans="2:8" x14ac:dyDescent="0.3">
      <c r="B45" s="26"/>
      <c r="H45" s="35"/>
    </row>
    <row r="46" spans="2:8" x14ac:dyDescent="0.3">
      <c r="B46" s="28" t="s">
        <v>1331</v>
      </c>
      <c r="C46" s="1"/>
      <c r="D46" s="1"/>
      <c r="E46" s="1"/>
      <c r="F46" s="1"/>
      <c r="G46" s="1"/>
      <c r="H46" s="1"/>
    </row>
    <row r="47" spans="2:8" x14ac:dyDescent="0.3">
      <c r="B47" s="409" t="s">
        <v>1332</v>
      </c>
      <c r="H47" s="35"/>
    </row>
    <row r="48" spans="2:8" x14ac:dyDescent="0.3">
      <c r="B48" s="329" t="s">
        <v>1333</v>
      </c>
      <c r="C48" s="307" t="s">
        <v>1334</v>
      </c>
      <c r="D48" s="694" t="s">
        <v>1335</v>
      </c>
      <c r="E48" s="694"/>
      <c r="F48" s="694"/>
      <c r="G48" s="694"/>
      <c r="H48" s="694"/>
    </row>
    <row r="49" spans="2:8" ht="27.6" x14ac:dyDescent="0.3">
      <c r="B49" s="410" t="s">
        <v>1336</v>
      </c>
      <c r="C49" s="314" t="str">
        <f>TEXT('KPIs &amp; Ratios'!H95,"#,##0")&amp;" → "&amp;TEXT('KPIs &amp; Ratios'!M95,"#,##0")&amp;" ₹ Cr ("&amp;TEXT('KPIs &amp; Ratios'!M95/'KPIs &amp; Ratios'!H95,"0.0")&amp;"x, "&amp;TEXT(('KPIs &amp; Ratios'!M95/'KPIs &amp; Ratios'!H95)^(1/5)-1,"0.0%")&amp;" CAGR)"</f>
        <v>60,348 → 2,46,012 ₹ Cr (4.1x, 32.5% CAGR)</v>
      </c>
      <c r="D49" s="695" t="s">
        <v>1337</v>
      </c>
      <c r="E49" s="695"/>
      <c r="F49" s="695"/>
      <c r="G49" s="695"/>
      <c r="H49" s="695"/>
    </row>
    <row r="50" spans="2:8" x14ac:dyDescent="0.3">
      <c r="B50" s="410" t="s">
        <v>1338</v>
      </c>
      <c r="C50" s="314" t="str">
        <f>"~2.5% → "&amp;TEXT('Credit Cost Forecast'!H10,"0.0%")&amp;" of avg. AUM"</f>
        <v>~2.5% → 1.5% of avg. AUM</v>
      </c>
      <c r="D50" s="695" t="s">
        <v>1339</v>
      </c>
      <c r="E50" s="695"/>
      <c r="F50" s="695"/>
      <c r="G50" s="695"/>
      <c r="H50" s="695"/>
    </row>
    <row r="51" spans="2:8" x14ac:dyDescent="0.3">
      <c r="B51" s="410" t="s">
        <v>1340</v>
      </c>
      <c r="C51" s="314" t="str">
        <f>TEXT(('Profit &amp; Loss'!H21+'Profit &amp; Loss'!H22+'Profit &amp; Loss'!H23)/('Profit &amp; Loss'!H15-'Profit &amp; Loss'!H17),"0.0%")&amp;" → "&amp;TEXT(('Profit &amp; Loss'!M21+'Profit &amp; Loss'!M22+'Profit &amp; Loss'!M23)/('Profit &amp; Loss'!M15-'Profit &amp; Loss'!M17),"0.0%")&amp;" cost-to-income"</f>
        <v>52.0% → 27.8% cost-to-income</v>
      </c>
      <c r="D51" s="695" t="s">
        <v>1341</v>
      </c>
      <c r="E51" s="695"/>
      <c r="F51" s="695"/>
      <c r="G51" s="695"/>
      <c r="H51" s="695"/>
    </row>
    <row r="52" spans="2:8" x14ac:dyDescent="0.3">
      <c r="B52" s="410" t="s">
        <v>1342</v>
      </c>
      <c r="C52" s="314" t="str">
        <f>TEXT('KPIs &amp; Ratios'!H26,"0.00%")&amp;" → "&amp;TEXT('KPIs &amp; Ratios'!M26,"0.00%")</f>
        <v>7.48% → 7.00%</v>
      </c>
      <c r="D52" s="695" t="s">
        <v>1343</v>
      </c>
      <c r="E52" s="695"/>
      <c r="F52" s="695"/>
      <c r="G52" s="695"/>
      <c r="H52" s="695"/>
    </row>
    <row r="53" spans="2:8" x14ac:dyDescent="0.3">
      <c r="B53" s="410" t="s">
        <v>1344</v>
      </c>
      <c r="C53" s="314" t="str">
        <f>TEXT('Regulatory Capital'!C60,"#,##0")&amp;" ₹ Cr across five years"</f>
        <v>18,364 ₹ Cr across five years</v>
      </c>
      <c r="D53" s="695" t="str">
        <f>TEXT('Regulatory Capital'!C91,"0.00")&amp;"x the largest raise executed (₹"&amp;TEXT('Regulatory Capital'!C89,"#,##0")&amp;" Cr FY26 QIP), and assumes an open market window in every one of the five years. Dilution and pricing are NOT modelled."</f>
        <v>1.47x the largest raise executed (₹2,500 Cr FY26 QIP), and assumes an open market window in every one of the five years. Dilution and pricing are NOT modelled.</v>
      </c>
      <c r="E53" s="695"/>
      <c r="F53" s="695"/>
      <c r="G53" s="695"/>
      <c r="H53" s="695"/>
    </row>
    <row r="54" spans="2:8" ht="27.6" x14ac:dyDescent="0.3">
      <c r="B54" s="410" t="s">
        <v>1345</v>
      </c>
      <c r="C54" s="314" t="str">
        <f>TEXT('Funding Forecast'!H7,"0.0%")&amp;" of FY31E AUM borrowed (down from "&amp;TEXT('Funding Forecast'!C7,"0.0%")&amp;")"</f>
        <v>81.3% of FY31E AUM borrowed (down from 86.0%)</v>
      </c>
      <c r="D54" s="695" t="s">
        <v>1346</v>
      </c>
      <c r="E54" s="695"/>
      <c r="F54" s="695"/>
      <c r="G54" s="695"/>
      <c r="H54" s="695"/>
    </row>
    <row r="55" spans="2:8" ht="27.6" x14ac:dyDescent="0.3">
      <c r="B55" s="410" t="s">
        <v>1347</v>
      </c>
      <c r="C55" s="314" t="s">
        <v>1348</v>
      </c>
      <c r="D55" s="695" t="s">
        <v>1349</v>
      </c>
      <c r="E55" s="695"/>
      <c r="F55" s="695"/>
      <c r="G55" s="695"/>
      <c r="H55" s="695"/>
    </row>
    <row r="56" spans="2:8" x14ac:dyDescent="0.3">
      <c r="B56" s="26"/>
      <c r="H56" s="35"/>
    </row>
    <row r="57" spans="2:8" s="405" customFormat="1" ht="43.2" customHeight="1" x14ac:dyDescent="0.3">
      <c r="B57" s="696" t="str">
        <f>"HOW TO READ THIS: conditions 4 and 6 are low-risk. Conditions 1, 2 and 5 carry the forecast. If any two of those fail together, the Base Case is not the right planning case and the Downside is - which is precisely what the Downside prices: "&amp;"credit cost c.60bps higher, slower acquisition and dearer funding, producing FY2031E ROE of "&amp;TEXT('Scenario Analysis'!E30,"0.0%")&amp;" against "&amp;TEXT('Scenario Analysis'!C30,"0.0%")&amp;" Base, and RAISING external equity need to ₹"&amp;TEXT('Scenario Analysis'!E47,"#,##0")&amp;" Cr. "&amp;"The Base Case should be presented as what the plan requires, and the Downside as what the balance sheet must be able to survive."</f>
        <v>HOW TO READ THIS: conditions 4 and 6 are low-risk. Conditions 1, 2 and 5 carry the forecast. If any two of those fail together, the Base Case is not the right planning case and the Downside is - which is precisely what the Downside prices: credit cost c.60bps higher, slower acquisition and dearer funding, producing FY2031E ROE of 10.8% against 16.7% Base, and RAISING external equity need to ₹21,032 Cr. The Base Case should be presented as what the plan requires, and the Downside as what the balance sheet must be able to survive.</v>
      </c>
      <c r="C57" s="697"/>
      <c r="D57" s="697"/>
      <c r="E57" s="697"/>
      <c r="F57" s="697"/>
      <c r="G57" s="697"/>
      <c r="H57" s="698"/>
    </row>
    <row r="58" spans="2:8" x14ac:dyDescent="0.3">
      <c r="B58" s="26"/>
      <c r="H58" s="35"/>
    </row>
    <row r="59" spans="2:8" x14ac:dyDescent="0.3">
      <c r="B59" s="639" t="s">
        <v>1383</v>
      </c>
      <c r="C59" s="640"/>
      <c r="D59" s="640"/>
      <c r="E59" s="640"/>
      <c r="F59" s="640"/>
      <c r="G59" s="640"/>
      <c r="H59" s="641"/>
    </row>
    <row r="60" spans="2:8" x14ac:dyDescent="0.3">
      <c r="B60" s="411" t="s">
        <v>1384</v>
      </c>
      <c r="H60" s="35"/>
    </row>
    <row r="61" spans="2:8" ht="28.8" customHeight="1" x14ac:dyDescent="0.3">
      <c r="B61" s="671" t="s">
        <v>1385</v>
      </c>
      <c r="C61" s="672"/>
      <c r="D61" s="672"/>
      <c r="E61" s="672"/>
      <c r="F61" s="672"/>
      <c r="G61" s="672"/>
      <c r="H61" s="685"/>
    </row>
    <row r="62" spans="2:8" x14ac:dyDescent="0.3">
      <c r="B62" s="403"/>
      <c r="C62" s="404"/>
      <c r="D62" s="404"/>
      <c r="E62" s="404"/>
      <c r="F62" s="404"/>
      <c r="G62" s="404"/>
      <c r="H62" s="414"/>
    </row>
    <row r="63" spans="2:8" ht="27.6" customHeight="1" x14ac:dyDescent="0.3">
      <c r="B63" s="671" t="s">
        <v>1386</v>
      </c>
      <c r="C63" s="672"/>
      <c r="D63" s="672"/>
      <c r="E63" s="672"/>
      <c r="F63" s="672"/>
      <c r="G63" s="672"/>
      <c r="H63" s="685"/>
    </row>
    <row r="64" spans="2:8" x14ac:dyDescent="0.3">
      <c r="B64" s="403"/>
      <c r="C64" s="404"/>
      <c r="D64" s="404"/>
      <c r="E64" s="404"/>
      <c r="F64" s="404"/>
      <c r="G64" s="404"/>
      <c r="H64" s="414"/>
    </row>
    <row r="65" spans="2:8" ht="29.4" customHeight="1" x14ac:dyDescent="0.3">
      <c r="B65" s="671" t="s">
        <v>1387</v>
      </c>
      <c r="C65" s="672"/>
      <c r="D65" s="672"/>
      <c r="E65" s="672"/>
      <c r="F65" s="672"/>
      <c r="G65" s="672"/>
      <c r="H65" s="685"/>
    </row>
    <row r="66" spans="2:8" x14ac:dyDescent="0.3">
      <c r="B66" s="403"/>
      <c r="C66" s="404"/>
      <c r="D66" s="404"/>
      <c r="E66" s="404"/>
      <c r="F66" s="404"/>
      <c r="G66" s="404"/>
      <c r="H66" s="414"/>
    </row>
    <row r="67" spans="2:8" ht="29.4" customHeight="1" x14ac:dyDescent="0.3">
      <c r="B67" s="671" t="s">
        <v>1388</v>
      </c>
      <c r="C67" s="672"/>
      <c r="D67" s="672"/>
      <c r="E67" s="672"/>
      <c r="F67" s="672"/>
      <c r="G67" s="672"/>
      <c r="H67" s="685"/>
    </row>
    <row r="68" spans="2:8" x14ac:dyDescent="0.3">
      <c r="B68" s="403"/>
      <c r="C68" s="404"/>
      <c r="D68" s="404"/>
      <c r="E68" s="404"/>
      <c r="F68" s="404"/>
      <c r="G68" s="404"/>
      <c r="H68" s="414"/>
    </row>
    <row r="69" spans="2:8" ht="32.4" customHeight="1" x14ac:dyDescent="0.3">
      <c r="B69" s="671" t="s">
        <v>1389</v>
      </c>
      <c r="C69" s="672"/>
      <c r="D69" s="672"/>
      <c r="E69" s="672"/>
      <c r="F69" s="672"/>
      <c r="G69" s="672"/>
      <c r="H69" s="685"/>
    </row>
    <row r="70" spans="2:8" x14ac:dyDescent="0.3">
      <c r="B70" s="412"/>
      <c r="C70" s="405"/>
      <c r="D70" s="405"/>
      <c r="H70" s="35"/>
    </row>
    <row r="71" spans="2:8" x14ac:dyDescent="0.3">
      <c r="B71" s="687" t="s">
        <v>1390</v>
      </c>
      <c r="C71" s="688"/>
      <c r="D71" s="688"/>
      <c r="E71" s="24"/>
      <c r="F71" s="24"/>
      <c r="G71" s="24"/>
      <c r="H71" s="109"/>
    </row>
  </sheetData>
  <mergeCells count="40">
    <mergeCell ref="B34:H34"/>
    <mergeCell ref="B35:H35"/>
    <mergeCell ref="B21:H21"/>
    <mergeCell ref="B1:H1"/>
    <mergeCell ref="B2:H2"/>
    <mergeCell ref="B8:H8"/>
    <mergeCell ref="B12:H12"/>
    <mergeCell ref="B17:H17"/>
    <mergeCell ref="B71:D71"/>
    <mergeCell ref="B44:F44"/>
    <mergeCell ref="B37:H37"/>
    <mergeCell ref="D48:H48"/>
    <mergeCell ref="D49:H49"/>
    <mergeCell ref="D50:H50"/>
    <mergeCell ref="D51:H51"/>
    <mergeCell ref="D52:H52"/>
    <mergeCell ref="D53:H53"/>
    <mergeCell ref="D54:H54"/>
    <mergeCell ref="D55:H55"/>
    <mergeCell ref="B57:H57"/>
    <mergeCell ref="B59:H59"/>
    <mergeCell ref="B61:H61"/>
    <mergeCell ref="B63:H63"/>
    <mergeCell ref="B65:H65"/>
    <mergeCell ref="B69:H69"/>
    <mergeCell ref="B5:C5"/>
    <mergeCell ref="B6:C6"/>
    <mergeCell ref="B7:C7"/>
    <mergeCell ref="B11:C11"/>
    <mergeCell ref="B15:C15"/>
    <mergeCell ref="B16:C16"/>
    <mergeCell ref="B26:C26"/>
    <mergeCell ref="B23:C23"/>
    <mergeCell ref="B20:C20"/>
    <mergeCell ref="B67:H67"/>
    <mergeCell ref="B36:H36"/>
    <mergeCell ref="B24:H24"/>
    <mergeCell ref="B27:H27"/>
    <mergeCell ref="B32:H32"/>
    <mergeCell ref="B33:H33"/>
  </mergeCells>
  <hyperlinks>
    <hyperlink ref="J1" location="Home!A1" tooltip="Back to Home / Index" display="⌂ Home" xr:uid="{D9BA56F9-3A08-4D5C-AA7D-2F6F11E2E6F9}"/>
  </hyperlinks>
  <pageMargins left="0.25" right="0.25" top="0.75" bottom="0.75" header="0.3" footer="0.3"/>
  <pageSetup paperSize="7" scale="62" orientation="landscape" r:id="rId1"/>
  <rowBreaks count="1" manualBreakCount="1">
    <brk id="38" max="7" man="1"/>
  </rowBreak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C03F0-B58B-4937-AA63-D05B7E784F37}">
  <sheetPr>
    <tabColor rgb="FFCBAACB"/>
  </sheetPr>
  <dimension ref="B1:M20"/>
  <sheetViews>
    <sheetView showGridLines="0" view="pageBreakPreview" zoomScale="60" zoomScaleNormal="100" workbookViewId="0">
      <selection activeCell="P7" sqref="P7"/>
    </sheetView>
  </sheetViews>
  <sheetFormatPr defaultRowHeight="14.4" x14ac:dyDescent="0.3"/>
  <cols>
    <col min="1" max="1" width="1.77734375" customWidth="1"/>
    <col min="2" max="2" width="15.33203125" customWidth="1"/>
    <col min="3" max="3" width="45.88671875" customWidth="1"/>
    <col min="4" max="4" width="24.77734375" customWidth="1"/>
    <col min="5" max="6" width="8.109375" customWidth="1"/>
    <col min="7" max="7" width="12.6640625" customWidth="1"/>
    <col min="8" max="9" width="8.109375" customWidth="1"/>
    <col min="10" max="10" width="27.77734375" customWidth="1"/>
    <col min="11" max="13" width="16.6640625" customWidth="1"/>
  </cols>
  <sheetData>
    <row r="1" spans="2:13" ht="24" customHeight="1" x14ac:dyDescent="0.3">
      <c r="B1" s="710" t="s">
        <v>288</v>
      </c>
      <c r="C1" s="711"/>
      <c r="D1" s="711"/>
      <c r="E1" s="711"/>
      <c r="F1" s="711"/>
      <c r="G1" s="711"/>
      <c r="H1" s="711"/>
      <c r="I1" s="711"/>
      <c r="J1" s="711"/>
      <c r="K1" s="711"/>
      <c r="L1" s="711"/>
      <c r="M1" s="416" t="s">
        <v>891</v>
      </c>
    </row>
    <row r="2" spans="2:13" ht="14.4" customHeight="1" x14ac:dyDescent="0.3">
      <c r="B2" s="712" t="s">
        <v>289</v>
      </c>
      <c r="C2" s="583"/>
      <c r="D2" s="583"/>
      <c r="E2" s="583"/>
      <c r="F2" s="583"/>
      <c r="G2" s="583"/>
      <c r="H2" s="583"/>
      <c r="I2" s="583"/>
      <c r="J2" s="583"/>
      <c r="K2" s="583"/>
      <c r="L2" s="583"/>
      <c r="M2" s="713"/>
    </row>
    <row r="3" spans="2:13" x14ac:dyDescent="0.3">
      <c r="B3" s="343"/>
      <c r="I3" s="35"/>
      <c r="M3" s="356"/>
    </row>
    <row r="4" spans="2:13" ht="43.8" thickBot="1" x14ac:dyDescent="0.35">
      <c r="B4" s="417" t="s">
        <v>290</v>
      </c>
      <c r="C4" s="133" t="s">
        <v>291</v>
      </c>
      <c r="D4" s="133" t="s">
        <v>292</v>
      </c>
      <c r="E4" s="131" t="s">
        <v>293</v>
      </c>
      <c r="F4" s="131" t="s">
        <v>294</v>
      </c>
      <c r="G4" s="131" t="s">
        <v>295</v>
      </c>
      <c r="H4" s="131" t="s">
        <v>296</v>
      </c>
      <c r="I4" s="132" t="s">
        <v>297</v>
      </c>
      <c r="J4" s="418" t="s">
        <v>1160</v>
      </c>
      <c r="K4" s="418" t="s">
        <v>1161</v>
      </c>
      <c r="L4" s="418" t="s">
        <v>1162</v>
      </c>
      <c r="M4" s="419" t="s">
        <v>1163</v>
      </c>
    </row>
    <row r="5" spans="2:13" ht="43.2" x14ac:dyDescent="0.3">
      <c r="B5" s="420" t="s">
        <v>298</v>
      </c>
      <c r="C5" s="3" t="s">
        <v>299</v>
      </c>
      <c r="D5" s="3" t="s">
        <v>239</v>
      </c>
      <c r="E5" s="421">
        <v>0.52</v>
      </c>
      <c r="F5" s="422">
        <v>0.48</v>
      </c>
      <c r="G5" s="423">
        <v>90</v>
      </c>
      <c r="H5" s="3" t="s">
        <v>300</v>
      </c>
      <c r="I5" s="93" t="s">
        <v>301</v>
      </c>
      <c r="J5" s="423" t="s">
        <v>1164</v>
      </c>
      <c r="K5" s="424">
        <v>0.7</v>
      </c>
      <c r="L5" s="424">
        <v>0.5</v>
      </c>
      <c r="M5" s="425">
        <f>IF(LEFT(J5,2)="No",G5*K5*L5,0)</f>
        <v>31.499999999999996</v>
      </c>
    </row>
    <row r="6" spans="2:13" ht="43.2" x14ac:dyDescent="0.3">
      <c r="B6" s="420" t="s">
        <v>302</v>
      </c>
      <c r="C6" s="3" t="s">
        <v>303</v>
      </c>
      <c r="D6" s="3" t="s">
        <v>304</v>
      </c>
      <c r="E6" s="426">
        <v>2500</v>
      </c>
      <c r="F6" s="423">
        <v>2100</v>
      </c>
      <c r="G6" s="423">
        <v>45</v>
      </c>
      <c r="H6" s="3" t="s">
        <v>305</v>
      </c>
      <c r="I6" s="93" t="s">
        <v>306</v>
      </c>
      <c r="J6" s="423" t="s">
        <v>1164</v>
      </c>
      <c r="K6" s="424">
        <v>0.6</v>
      </c>
      <c r="L6" s="424">
        <v>0.5</v>
      </c>
      <c r="M6" s="425">
        <f>IF(LEFT(J6,2)="No",G6*K6*L6,0)</f>
        <v>13.5</v>
      </c>
    </row>
    <row r="7" spans="2:13" ht="28.8" x14ac:dyDescent="0.3">
      <c r="B7" s="420" t="s">
        <v>307</v>
      </c>
      <c r="C7" s="3" t="s">
        <v>308</v>
      </c>
      <c r="D7" s="3" t="s">
        <v>240</v>
      </c>
      <c r="E7" s="421">
        <v>7.7299999999999994E-2</v>
      </c>
      <c r="F7" s="422">
        <v>7.2999999999999995E-2</v>
      </c>
      <c r="G7" s="423">
        <v>120</v>
      </c>
      <c r="H7" s="3" t="s">
        <v>309</v>
      </c>
      <c r="I7" s="93" t="s">
        <v>310</v>
      </c>
      <c r="J7" s="423" t="s">
        <v>1165</v>
      </c>
      <c r="K7" s="424">
        <v>0.75</v>
      </c>
      <c r="L7" s="424">
        <v>0.4</v>
      </c>
      <c r="M7" s="425">
        <f>IF(LEFT(J7,2)="No",G7*K7*L7,0)</f>
        <v>0</v>
      </c>
    </row>
    <row r="8" spans="2:13" ht="43.2" x14ac:dyDescent="0.3">
      <c r="B8" s="420" t="s">
        <v>311</v>
      </c>
      <c r="C8" s="3" t="s">
        <v>312</v>
      </c>
      <c r="D8" s="3" t="s">
        <v>313</v>
      </c>
      <c r="E8" s="421">
        <v>1.44E-2</v>
      </c>
      <c r="F8" s="422">
        <v>1.0999999999999999E-2</v>
      </c>
      <c r="G8" s="423">
        <v>60</v>
      </c>
      <c r="H8" s="3" t="s">
        <v>314</v>
      </c>
      <c r="I8" s="93" t="s">
        <v>315</v>
      </c>
      <c r="J8" s="423" t="s">
        <v>1166</v>
      </c>
      <c r="K8" s="424">
        <v>0.65</v>
      </c>
      <c r="L8" s="424">
        <v>0.5</v>
      </c>
      <c r="M8" s="425">
        <f>IF(LEFT(J8,2)="No",G8*K8*L8,0)</f>
        <v>0</v>
      </c>
    </row>
    <row r="9" spans="2:13" ht="57.6" x14ac:dyDescent="0.3">
      <c r="B9" s="420" t="s">
        <v>316</v>
      </c>
      <c r="C9" s="3" t="s">
        <v>317</v>
      </c>
      <c r="D9" s="3" t="s">
        <v>318</v>
      </c>
      <c r="E9" s="427">
        <v>0.27</v>
      </c>
      <c r="F9" s="428">
        <v>0.35</v>
      </c>
      <c r="G9" s="423">
        <v>35</v>
      </c>
      <c r="H9" s="3" t="s">
        <v>300</v>
      </c>
      <c r="I9" s="93" t="s">
        <v>319</v>
      </c>
      <c r="J9" s="423" t="s">
        <v>1164</v>
      </c>
      <c r="K9" s="424">
        <v>0.55000000000000004</v>
      </c>
      <c r="L9" s="424">
        <v>0.4</v>
      </c>
      <c r="M9" s="425">
        <f>IF(LEFT(J9,2)="No",G9*K9*L9,0)</f>
        <v>7.7</v>
      </c>
    </row>
    <row r="10" spans="2:13" x14ac:dyDescent="0.3">
      <c r="B10" s="429" t="s">
        <v>320</v>
      </c>
      <c r="C10" s="303"/>
      <c r="D10" s="303"/>
      <c r="E10" s="303"/>
      <c r="F10" s="303"/>
      <c r="G10" s="304">
        <f>SUM(G5:G9)</f>
        <v>350</v>
      </c>
      <c r="H10" s="303"/>
      <c r="I10" s="305"/>
      <c r="J10" s="430" t="s">
        <v>743</v>
      </c>
      <c r="K10" s="431"/>
      <c r="L10" s="431"/>
      <c r="M10" s="432">
        <f>SUM(M5:M9)</f>
        <v>52.7</v>
      </c>
    </row>
    <row r="11" spans="2:13" x14ac:dyDescent="0.3">
      <c r="B11" s="343"/>
      <c r="M11" s="356"/>
    </row>
    <row r="12" spans="2:13" x14ac:dyDescent="0.3">
      <c r="B12" s="707" t="s">
        <v>1167</v>
      </c>
      <c r="C12" s="708"/>
      <c r="D12" s="708"/>
      <c r="E12" s="708"/>
      <c r="M12" s="356"/>
    </row>
    <row r="13" spans="2:13" x14ac:dyDescent="0.3">
      <c r="B13" s="343" t="s">
        <v>1168</v>
      </c>
      <c r="E13" s="99">
        <f>G10</f>
        <v>350</v>
      </c>
      <c r="M13" s="356"/>
    </row>
    <row r="14" spans="2:13" x14ac:dyDescent="0.3">
      <c r="B14" s="343" t="s">
        <v>1169</v>
      </c>
      <c r="E14" s="99">
        <f>M10</f>
        <v>52.7</v>
      </c>
      <c r="M14" s="356"/>
    </row>
    <row r="15" spans="2:13" x14ac:dyDescent="0.3">
      <c r="B15" s="343" t="s">
        <v>1170</v>
      </c>
      <c r="E15" s="99">
        <f>SUMIF(J5:J9,"Partly*",G5:G9)</f>
        <v>180</v>
      </c>
      <c r="M15" s="356"/>
    </row>
    <row r="16" spans="2:13" x14ac:dyDescent="0.3">
      <c r="B16" s="709" t="s">
        <v>1171</v>
      </c>
      <c r="C16" s="576"/>
      <c r="D16" s="576"/>
      <c r="E16" s="576"/>
      <c r="M16" s="356"/>
    </row>
    <row r="17" spans="2:13" x14ac:dyDescent="0.3">
      <c r="B17" s="343"/>
      <c r="M17" s="356"/>
    </row>
    <row r="18" spans="2:13" x14ac:dyDescent="0.3">
      <c r="B18" s="433" t="s">
        <v>1325</v>
      </c>
      <c r="C18" s="306"/>
      <c r="D18" s="306"/>
      <c r="E18" s="306"/>
      <c r="F18" s="306"/>
      <c r="G18" s="306"/>
      <c r="H18" s="306"/>
      <c r="I18" s="306"/>
      <c r="J18" s="306"/>
      <c r="K18" s="306"/>
      <c r="L18" s="306"/>
      <c r="M18" s="434"/>
    </row>
    <row r="19" spans="2:13" ht="31.8" customHeight="1" x14ac:dyDescent="0.3">
      <c r="B19" s="594" t="s">
        <v>1326</v>
      </c>
      <c r="C19" s="595"/>
      <c r="D19" s="595"/>
      <c r="E19" s="595"/>
      <c r="F19" s="595"/>
      <c r="G19" s="595"/>
      <c r="H19" s="595"/>
      <c r="I19" s="595"/>
      <c r="J19" s="595"/>
      <c r="K19" s="595"/>
      <c r="L19" s="595"/>
      <c r="M19" s="596"/>
    </row>
    <row r="20" spans="2:13" ht="52.2" customHeight="1" x14ac:dyDescent="0.3">
      <c r="B20" s="589" t="s">
        <v>1327</v>
      </c>
      <c r="C20" s="590"/>
      <c r="D20" s="590"/>
      <c r="E20" s="590"/>
      <c r="F20" s="590"/>
      <c r="G20" s="590"/>
      <c r="H20" s="590"/>
      <c r="I20" s="590"/>
      <c r="J20" s="590"/>
      <c r="K20" s="590"/>
      <c r="L20" s="590"/>
      <c r="M20" s="591"/>
    </row>
  </sheetData>
  <mergeCells count="6">
    <mergeCell ref="B19:M19"/>
    <mergeCell ref="B20:M20"/>
    <mergeCell ref="B12:E12"/>
    <mergeCell ref="B16:E16"/>
    <mergeCell ref="B1:L1"/>
    <mergeCell ref="B2:M2"/>
  </mergeCells>
  <hyperlinks>
    <hyperlink ref="M1" location="Home!A1" tooltip="Back to Home / Index" display="⌂ Home" xr:uid="{BB9D4BC0-6E3D-4BCA-93A9-B24DB9062937}"/>
  </hyperlinks>
  <pageMargins left="0.25" right="0.25" top="0.75" bottom="0.75" header="0.3" footer="0.3"/>
  <pageSetup scale="63" orientation="landscape"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5D45-1C27-4CAB-9099-5262A05120B7}">
  <sheetPr>
    <tabColor rgb="FF595959"/>
  </sheetPr>
  <dimension ref="B2:F18"/>
  <sheetViews>
    <sheetView showGridLines="0" workbookViewId="0">
      <selection activeCell="D1" sqref="D1:G1048576"/>
    </sheetView>
  </sheetViews>
  <sheetFormatPr defaultRowHeight="14.4" x14ac:dyDescent="0.3"/>
  <cols>
    <col min="1" max="1" width="1.77734375" customWidth="1"/>
    <col min="2" max="2" width="11.109375" customWidth="1"/>
    <col min="3" max="3" width="55.5546875" customWidth="1"/>
    <col min="4" max="4" width="59.21875" customWidth="1"/>
    <col min="5" max="6" width="8.88671875" customWidth="1"/>
  </cols>
  <sheetData>
    <row r="2" spans="2:6" ht="40.049999999999997" customHeight="1" x14ac:dyDescent="0.3">
      <c r="B2" s="715" t="s">
        <v>1128</v>
      </c>
      <c r="C2" s="716" t="s">
        <v>1129</v>
      </c>
      <c r="D2" s="716"/>
      <c r="F2" s="269" t="s">
        <v>891</v>
      </c>
    </row>
    <row r="3" spans="2:6" ht="7.95" customHeight="1" x14ac:dyDescent="0.3">
      <c r="B3" s="715"/>
    </row>
    <row r="4" spans="2:6" ht="61.95" customHeight="1" x14ac:dyDescent="0.3">
      <c r="B4" s="715"/>
      <c r="C4" s="530" t="s">
        <v>1130</v>
      </c>
      <c r="D4" s="530"/>
    </row>
    <row r="6" spans="2:6" x14ac:dyDescent="0.3">
      <c r="B6" s="714" t="s">
        <v>1072</v>
      </c>
      <c r="C6" s="714"/>
      <c r="D6" s="714"/>
    </row>
    <row r="7" spans="2:6" x14ac:dyDescent="0.3">
      <c r="C7" s="526" t="s">
        <v>1131</v>
      </c>
      <c r="D7" s="526"/>
    </row>
    <row r="8" spans="2:6" x14ac:dyDescent="0.3">
      <c r="C8" s="526" t="s">
        <v>1132</v>
      </c>
      <c r="D8" s="526"/>
    </row>
    <row r="9" spans="2:6" x14ac:dyDescent="0.3">
      <c r="C9" s="526" t="s">
        <v>1133</v>
      </c>
      <c r="D9" s="526"/>
    </row>
    <row r="10" spans="2:6" x14ac:dyDescent="0.3">
      <c r="C10" s="526" t="s">
        <v>1134</v>
      </c>
      <c r="D10" s="526"/>
    </row>
    <row r="12" spans="2:6" x14ac:dyDescent="0.3">
      <c r="B12" s="714" t="s">
        <v>1077</v>
      </c>
      <c r="C12" s="714"/>
      <c r="D12" s="714"/>
    </row>
    <row r="13" spans="2:6" x14ac:dyDescent="0.3">
      <c r="B13" s="340" t="s">
        <v>1462</v>
      </c>
      <c r="C13" s="285" t="s">
        <v>869</v>
      </c>
      <c r="D13" s="285" t="s">
        <v>1078</v>
      </c>
    </row>
    <row r="14" spans="2:6" x14ac:dyDescent="0.3">
      <c r="B14" s="435" t="s">
        <v>1455</v>
      </c>
      <c r="C14" s="294" t="s">
        <v>886</v>
      </c>
      <c r="D14" s="295" t="s">
        <v>1135</v>
      </c>
    </row>
    <row r="15" spans="2:6" x14ac:dyDescent="0.3">
      <c r="B15" s="435" t="s">
        <v>1456</v>
      </c>
      <c r="C15" s="294" t="s">
        <v>887</v>
      </c>
      <c r="D15" s="295" t="s">
        <v>1136</v>
      </c>
    </row>
    <row r="16" spans="2:6" x14ac:dyDescent="0.3">
      <c r="B16" s="435" t="s">
        <v>1457</v>
      </c>
      <c r="C16" s="294" t="s">
        <v>888</v>
      </c>
      <c r="D16" s="295" t="s">
        <v>1137</v>
      </c>
    </row>
    <row r="17" spans="2:4" x14ac:dyDescent="0.3">
      <c r="B17" s="435" t="s">
        <v>1458</v>
      </c>
      <c r="C17" s="294" t="s">
        <v>889</v>
      </c>
      <c r="D17" s="295" t="s">
        <v>1138</v>
      </c>
    </row>
    <row r="18" spans="2:4" x14ac:dyDescent="0.3">
      <c r="C18" s="294"/>
      <c r="D18" s="295"/>
    </row>
  </sheetData>
  <mergeCells count="9">
    <mergeCell ref="C9:D9"/>
    <mergeCell ref="C10:D10"/>
    <mergeCell ref="B12:D12"/>
    <mergeCell ref="B2:B4"/>
    <mergeCell ref="C2:D2"/>
    <mergeCell ref="C4:D4"/>
    <mergeCell ref="B6:D6"/>
    <mergeCell ref="C7:D7"/>
    <mergeCell ref="C8:D8"/>
  </mergeCells>
  <hyperlinks>
    <hyperlink ref="C14" location="'Profit &amp; Loss'!A1" tooltip="Go to Profit &amp; Loss" display="Profit &amp; Loss" xr:uid="{31CEE55D-168F-4400-8CA0-3F8DFD82E637}"/>
    <hyperlink ref="C15" location="'Balance Sheet'!A1" tooltip="Go to Balance Sheet" display="Balance Sheet" xr:uid="{ED33C812-1189-4CC5-A6DB-676E014209F6}"/>
    <hyperlink ref="C16" location="'Cash Flow Statement'!A1" tooltip="Go to Cash Flow Statement" display="Cash Flow Statement" xr:uid="{31659601-79AA-4BE5-A5BD-15036BB15895}"/>
    <hyperlink ref="C17" location="'Statement of Changes in Equity'!A1" tooltip="Go to Statement of Changes in Equity" display="Statement of Changes in Equity" xr:uid="{38E68B92-E3F6-4722-9636-9FB5BD7E8E71}"/>
    <hyperlink ref="F2" location="Home!A1" tooltip="Back to Home / Index" display="⌂ Home" xr:uid="{DCDBF7F1-4AF7-414C-BEB9-72B93AC72A62}"/>
  </hyperlinks>
  <pageMargins left="0.25" right="0.25" top="0.75" bottom="0.75" header="0.3" footer="0.3"/>
  <pageSetup orientation="landscape"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41B1A-DEBF-4E87-A84E-7F10EC1BF534}">
  <sheetPr>
    <tabColor rgb="FFBFBFBF"/>
  </sheetPr>
  <dimension ref="B1:O56"/>
  <sheetViews>
    <sheetView showGridLines="0" topLeftCell="H1" zoomScaleNormal="100" workbookViewId="0">
      <selection activeCell="M1" sqref="M1:P1048576"/>
    </sheetView>
  </sheetViews>
  <sheetFormatPr defaultRowHeight="14.4" x14ac:dyDescent="0.3"/>
  <cols>
    <col min="1" max="1" width="1.77734375" customWidth="1"/>
    <col min="2" max="2" width="63" customWidth="1"/>
    <col min="3" max="8" width="16.33203125" customWidth="1"/>
    <col min="14" max="15" width="8.88671875" customWidth="1"/>
  </cols>
  <sheetData>
    <row r="1" spans="2:15" ht="24" customHeight="1" x14ac:dyDescent="0.3">
      <c r="B1" s="505" t="s">
        <v>60</v>
      </c>
      <c r="C1" s="549"/>
      <c r="D1" s="549"/>
      <c r="E1" s="549"/>
      <c r="F1" s="549"/>
      <c r="G1" s="549"/>
      <c r="H1" s="549"/>
      <c r="I1" s="195"/>
      <c r="J1" s="195"/>
      <c r="K1" s="195"/>
      <c r="L1" s="195"/>
      <c r="M1" s="196"/>
      <c r="O1" s="269" t="s">
        <v>891</v>
      </c>
    </row>
    <row r="2" spans="2:15" x14ac:dyDescent="0.3">
      <c r="B2" s="508" t="s">
        <v>61</v>
      </c>
      <c r="C2" s="717"/>
      <c r="D2" s="717"/>
      <c r="E2" s="717"/>
      <c r="F2" s="717"/>
      <c r="G2" s="717"/>
      <c r="H2" s="717"/>
      <c r="I2" s="198"/>
      <c r="J2" s="198"/>
      <c r="K2" s="198"/>
      <c r="L2" s="198"/>
      <c r="M2" s="199"/>
    </row>
    <row r="3" spans="2:15" ht="24" customHeight="1" x14ac:dyDescent="0.3">
      <c r="B3" s="511" t="s">
        <v>2</v>
      </c>
      <c r="C3" s="465"/>
      <c r="D3" s="465"/>
      <c r="E3" s="465"/>
      <c r="F3" s="465"/>
      <c r="G3" s="465"/>
      <c r="H3" s="465"/>
      <c r="M3" s="35"/>
    </row>
    <row r="4" spans="2:15" x14ac:dyDescent="0.3">
      <c r="B4" s="197"/>
      <c r="M4" s="35"/>
    </row>
    <row r="5" spans="2:15" ht="15" thickBot="1" x14ac:dyDescent="0.35">
      <c r="B5" s="47" t="s">
        <v>3</v>
      </c>
      <c r="C5" s="48" t="s">
        <v>4</v>
      </c>
      <c r="D5" s="48" t="s">
        <v>5</v>
      </c>
      <c r="E5" s="48" t="s">
        <v>6</v>
      </c>
      <c r="F5" s="48" t="s">
        <v>7</v>
      </c>
      <c r="G5" s="48" t="s">
        <v>8</v>
      </c>
      <c r="H5" s="48" t="s">
        <v>9</v>
      </c>
      <c r="I5" s="49" t="s">
        <v>257</v>
      </c>
      <c r="J5" s="49" t="s">
        <v>258</v>
      </c>
      <c r="K5" s="49" t="s">
        <v>259</v>
      </c>
      <c r="L5" s="49" t="s">
        <v>260</v>
      </c>
      <c r="M5" s="50" t="s">
        <v>261</v>
      </c>
    </row>
    <row r="6" spans="2:15" x14ac:dyDescent="0.3">
      <c r="B6" s="26"/>
      <c r="M6" s="35"/>
    </row>
    <row r="7" spans="2:15" x14ac:dyDescent="0.3">
      <c r="B7" s="28" t="s">
        <v>62</v>
      </c>
      <c r="C7" s="13"/>
      <c r="D7" s="13"/>
      <c r="E7" s="13"/>
      <c r="F7" s="13"/>
      <c r="G7" s="13"/>
      <c r="H7" s="13"/>
      <c r="I7" s="13"/>
      <c r="J7" s="13"/>
      <c r="K7" s="13"/>
      <c r="L7" s="13"/>
      <c r="M7" s="36"/>
    </row>
    <row r="8" spans="2:15" x14ac:dyDescent="0.3">
      <c r="B8" s="30" t="s">
        <v>63</v>
      </c>
      <c r="C8" s="15">
        <v>2165.6774999999998</v>
      </c>
      <c r="D8" s="15">
        <v>1910.4873</v>
      </c>
      <c r="E8" s="15">
        <v>1815.19</v>
      </c>
      <c r="F8" s="15">
        <v>2899.56</v>
      </c>
      <c r="G8" s="15">
        <v>3874.5</v>
      </c>
      <c r="H8" s="15">
        <v>6140.81</v>
      </c>
      <c r="I8" s="17">
        <f>'Revenue Forecast'!D8</f>
        <v>10318.776991249997</v>
      </c>
      <c r="J8" s="17">
        <f>'Revenue Forecast'!E8</f>
        <v>14594.032111749999</v>
      </c>
      <c r="K8" s="17">
        <f>'Revenue Forecast'!F8</f>
        <v>19229.063341471876</v>
      </c>
      <c r="L8" s="17">
        <f>'Revenue Forecast'!G8</f>
        <v>24090.723026699063</v>
      </c>
      <c r="M8" s="39">
        <f>'Revenue Forecast'!H8</f>
        <v>29610.239246953912</v>
      </c>
    </row>
    <row r="9" spans="2:15" x14ac:dyDescent="0.3">
      <c r="B9" s="30" t="s">
        <v>64</v>
      </c>
      <c r="C9" s="15">
        <v>29.673100000000002</v>
      </c>
      <c r="D9" s="15">
        <v>26.444299999999998</v>
      </c>
      <c r="E9" s="15">
        <v>27.72</v>
      </c>
      <c r="F9" s="15">
        <v>25.54</v>
      </c>
      <c r="G9" s="15">
        <v>16.86</v>
      </c>
      <c r="H9" s="15">
        <v>8.51</v>
      </c>
      <c r="I9" s="51">
        <v>6.5</v>
      </c>
      <c r="J9" s="51">
        <v>5</v>
      </c>
      <c r="K9" s="51">
        <v>4</v>
      </c>
      <c r="L9" s="51">
        <v>3</v>
      </c>
      <c r="M9" s="55">
        <v>2.5</v>
      </c>
    </row>
    <row r="10" spans="2:15" x14ac:dyDescent="0.3">
      <c r="B10" s="30" t="s">
        <v>65</v>
      </c>
      <c r="C10" s="15">
        <v>71.657200000000003</v>
      </c>
      <c r="D10" s="15">
        <v>63.917000000000002</v>
      </c>
      <c r="E10" s="15">
        <v>61.54</v>
      </c>
      <c r="F10" s="15">
        <v>73.22</v>
      </c>
      <c r="G10" s="15">
        <v>192.26</v>
      </c>
      <c r="H10" s="15">
        <v>419.75</v>
      </c>
      <c r="I10" s="17">
        <f>'Revenue Forecast'!D10</f>
        <v>533.72984437499986</v>
      </c>
      <c r="J10" s="17">
        <f>'Revenue Forecast'!E10</f>
        <v>781.82314884374989</v>
      </c>
      <c r="K10" s="17">
        <f>'Revenue Forecast'!F10</f>
        <v>1139.5000498649999</v>
      </c>
      <c r="L10" s="17">
        <f>'Revenue Forecast'!G10</f>
        <v>1482.5060324122501</v>
      </c>
      <c r="M10" s="39">
        <f>'Revenue Forecast'!H10</f>
        <v>1981.7876661347107</v>
      </c>
    </row>
    <row r="11" spans="2:15" x14ac:dyDescent="0.3">
      <c r="B11" s="30" t="s">
        <v>66</v>
      </c>
      <c r="C11" s="15">
        <v>0.61319999999999997</v>
      </c>
      <c r="D11" s="15">
        <v>3.5373000000000001</v>
      </c>
      <c r="E11" s="15">
        <v>4.45</v>
      </c>
      <c r="F11" s="15">
        <v>2.15</v>
      </c>
      <c r="G11" s="15">
        <v>0</v>
      </c>
      <c r="H11" s="15">
        <v>4.28</v>
      </c>
      <c r="I11" s="16"/>
      <c r="J11" s="16"/>
      <c r="K11" s="16"/>
      <c r="L11" s="16"/>
      <c r="M11" s="38"/>
    </row>
    <row r="12" spans="2:15" x14ac:dyDescent="0.3">
      <c r="B12" s="30" t="s">
        <v>67</v>
      </c>
      <c r="C12" s="15">
        <v>51.276699999999998</v>
      </c>
      <c r="D12" s="15">
        <v>0</v>
      </c>
      <c r="E12" s="15">
        <v>29.68</v>
      </c>
      <c r="F12" s="15">
        <v>108.54</v>
      </c>
      <c r="G12" s="15">
        <v>106.14</v>
      </c>
      <c r="H12" s="15">
        <v>216.83</v>
      </c>
      <c r="I12" s="16"/>
      <c r="J12" s="16"/>
      <c r="K12" s="16"/>
      <c r="L12" s="16"/>
      <c r="M12" s="38"/>
    </row>
    <row r="13" spans="2:15" x14ac:dyDescent="0.3">
      <c r="B13" s="31" t="s">
        <v>68</v>
      </c>
      <c r="C13" s="2">
        <f t="shared" ref="C13:H13" si="0">SUM(C8:C12)</f>
        <v>2318.8976999999995</v>
      </c>
      <c r="D13" s="2">
        <f t="shared" si="0"/>
        <v>2004.3858999999998</v>
      </c>
      <c r="E13" s="2">
        <f t="shared" si="0"/>
        <v>1938.5800000000002</v>
      </c>
      <c r="F13" s="2">
        <f t="shared" si="0"/>
        <v>3109.0099999999998</v>
      </c>
      <c r="G13" s="2">
        <f t="shared" si="0"/>
        <v>4189.76</v>
      </c>
      <c r="H13" s="2">
        <f t="shared" si="0"/>
        <v>6790.18</v>
      </c>
      <c r="I13" s="5">
        <f>SUM(I8:I12)</f>
        <v>10859.006835624998</v>
      </c>
      <c r="J13" s="5">
        <f>SUM(J8:J12)</f>
        <v>15380.855260593749</v>
      </c>
      <c r="K13" s="5">
        <f>SUM(K8:K12)</f>
        <v>20372.563391336877</v>
      </c>
      <c r="L13" s="5">
        <f>SUM(L8:L12)</f>
        <v>25576.229059111312</v>
      </c>
      <c r="M13" s="40">
        <f>SUM(M8:M12)</f>
        <v>31594.526913088623</v>
      </c>
    </row>
    <row r="14" spans="2:15" x14ac:dyDescent="0.3">
      <c r="B14" s="30" t="s">
        <v>69</v>
      </c>
      <c r="C14" s="15">
        <v>33.579799999999999</v>
      </c>
      <c r="D14" s="15">
        <v>36.643500000000003</v>
      </c>
      <c r="E14" s="15">
        <v>69.7</v>
      </c>
      <c r="F14" s="15">
        <v>38.32</v>
      </c>
      <c r="G14" s="15">
        <v>33.08</v>
      </c>
      <c r="H14" s="15">
        <v>5.47</v>
      </c>
      <c r="I14" s="17">
        <f>'Revenue Forecast'!D12</f>
        <v>391.40188587499989</v>
      </c>
      <c r="J14" s="17">
        <f>'Revenue Forecast'!E12</f>
        <v>573.33697581874992</v>
      </c>
      <c r="K14" s="17">
        <f>'Revenue Forecast'!F12</f>
        <v>640.96877804906239</v>
      </c>
      <c r="L14" s="17">
        <f>'Revenue Forecast'!G12</f>
        <v>833.90964323189064</v>
      </c>
      <c r="M14" s="39">
        <f>'Revenue Forecast'!H12</f>
        <v>1049.1817056007289</v>
      </c>
    </row>
    <row r="15" spans="2:15" x14ac:dyDescent="0.3">
      <c r="B15" s="31" t="s">
        <v>70</v>
      </c>
      <c r="C15" s="2">
        <f t="shared" ref="C15:H15" si="1">C13+C14</f>
        <v>2352.4774999999995</v>
      </c>
      <c r="D15" s="2">
        <f t="shared" si="1"/>
        <v>2041.0293999999997</v>
      </c>
      <c r="E15" s="2">
        <f t="shared" si="1"/>
        <v>2008.2800000000002</v>
      </c>
      <c r="F15" s="2">
        <f t="shared" si="1"/>
        <v>3147.33</v>
      </c>
      <c r="G15" s="2">
        <f t="shared" si="1"/>
        <v>4222.84</v>
      </c>
      <c r="H15" s="2">
        <f t="shared" si="1"/>
        <v>6795.6500000000005</v>
      </c>
      <c r="I15" s="5">
        <f>I13+I14</f>
        <v>11250.408721499998</v>
      </c>
      <c r="J15" s="5">
        <f>J13+J14</f>
        <v>15954.192236412498</v>
      </c>
      <c r="K15" s="5">
        <f>K13+K14</f>
        <v>21013.532169385941</v>
      </c>
      <c r="L15" s="5">
        <f>L13+L14</f>
        <v>26410.138702343203</v>
      </c>
      <c r="M15" s="40">
        <f>M13+M14</f>
        <v>32643.70861868935</v>
      </c>
    </row>
    <row r="16" spans="2:15" x14ac:dyDescent="0.3">
      <c r="B16" s="28" t="s">
        <v>71</v>
      </c>
      <c r="C16" s="13"/>
      <c r="D16" s="13"/>
      <c r="E16" s="13"/>
      <c r="F16" s="13"/>
      <c r="G16" s="13"/>
      <c r="H16" s="13"/>
      <c r="I16" s="19"/>
      <c r="J16" s="19"/>
      <c r="K16" s="19"/>
      <c r="L16" s="19"/>
      <c r="M16" s="42"/>
    </row>
    <row r="17" spans="2:13" x14ac:dyDescent="0.3">
      <c r="B17" s="30" t="s">
        <v>72</v>
      </c>
      <c r="C17" s="15">
        <v>1100.454</v>
      </c>
      <c r="D17" s="15">
        <v>716.16970000000003</v>
      </c>
      <c r="E17" s="15">
        <v>595.28</v>
      </c>
      <c r="F17" s="15">
        <v>950.3</v>
      </c>
      <c r="G17" s="15">
        <v>1515.09</v>
      </c>
      <c r="H17" s="15">
        <v>2766.67</v>
      </c>
      <c r="I17" s="17">
        <f>'Funding Forecast'!D11</f>
        <v>4557.0393166067452</v>
      </c>
      <c r="J17" s="17">
        <f>'Funding Forecast'!E11</f>
        <v>6398.5022958036479</v>
      </c>
      <c r="K17" s="17">
        <f>'Funding Forecast'!F11</f>
        <v>8503.0550549921663</v>
      </c>
      <c r="L17" s="17">
        <f>'Funding Forecast'!G11</f>
        <v>10803.953681330993</v>
      </c>
      <c r="M17" s="39">
        <f>'Funding Forecast'!H11</f>
        <v>13303.703963929822</v>
      </c>
    </row>
    <row r="18" spans="2:13" x14ac:dyDescent="0.3">
      <c r="B18" s="30" t="s">
        <v>73</v>
      </c>
      <c r="C18" s="15">
        <v>0</v>
      </c>
      <c r="D18" s="15">
        <v>0</v>
      </c>
      <c r="E18" s="15"/>
      <c r="F18" s="15"/>
      <c r="G18" s="15">
        <v>13.72</v>
      </c>
      <c r="H18" s="15">
        <v>0</v>
      </c>
      <c r="I18" s="16"/>
      <c r="J18" s="16"/>
      <c r="K18" s="16"/>
      <c r="L18" s="16"/>
      <c r="M18" s="38"/>
    </row>
    <row r="19" spans="2:13" x14ac:dyDescent="0.3">
      <c r="B19" s="30" t="s">
        <v>74</v>
      </c>
      <c r="C19" s="15"/>
      <c r="D19" s="15">
        <v>5.4739000000000004</v>
      </c>
      <c r="E19" s="15">
        <v>10.87</v>
      </c>
      <c r="F19" s="15">
        <v>0</v>
      </c>
      <c r="G19" s="15">
        <v>94.41</v>
      </c>
      <c r="H19" s="15">
        <v>105.79</v>
      </c>
      <c r="I19" s="16"/>
      <c r="J19" s="16"/>
      <c r="K19" s="16"/>
      <c r="L19" s="16"/>
      <c r="M19" s="38"/>
    </row>
    <row r="20" spans="2:13" x14ac:dyDescent="0.3">
      <c r="B20" s="30" t="s">
        <v>75</v>
      </c>
      <c r="C20" s="15">
        <v>1447.9926</v>
      </c>
      <c r="D20" s="15">
        <v>77.562799999999996</v>
      </c>
      <c r="E20" s="15">
        <v>-144.53</v>
      </c>
      <c r="F20" s="15">
        <v>72.02</v>
      </c>
      <c r="G20" s="15">
        <v>1458.17</v>
      </c>
      <c r="H20" s="15">
        <v>1104.1300000000001</v>
      </c>
      <c r="I20" s="17">
        <f>'Credit Cost Forecast'!D12</f>
        <v>1565.6075434999996</v>
      </c>
      <c r="J20" s="17">
        <f>'Credit Cost Forecast'!E12</f>
        <v>1980.6186437374997</v>
      </c>
      <c r="K20" s="17">
        <f>'Credit Cost Forecast'!F12</f>
        <v>2421.437605963125</v>
      </c>
      <c r="L20" s="17">
        <f>'Credit Cost Forecast'!G12</f>
        <v>2965.0120648245002</v>
      </c>
      <c r="M20" s="39">
        <f>'Credit Cost Forecast'!H12</f>
        <v>3497.2723520024301</v>
      </c>
    </row>
    <row r="21" spans="2:13" x14ac:dyDescent="0.3">
      <c r="B21" s="30" t="s">
        <v>76</v>
      </c>
      <c r="C21" s="15">
        <v>381.53050000000002</v>
      </c>
      <c r="D21" s="15">
        <v>519.21199999999999</v>
      </c>
      <c r="E21" s="15">
        <v>514.79999999999995</v>
      </c>
      <c r="F21" s="15">
        <v>444.42</v>
      </c>
      <c r="G21" s="15">
        <v>636.22</v>
      </c>
      <c r="H21" s="15">
        <v>1017.54</v>
      </c>
      <c r="I21" s="17">
        <f>'Operating Cost Forecast'!D9</f>
        <v>1401.8089453924915</v>
      </c>
      <c r="J21" s="17">
        <f>'Operating Cost Forecast'!E9</f>
        <v>1769.3510612313996</v>
      </c>
      <c r="K21" s="17">
        <f>'Operating Cost Forecast'!F9</f>
        <v>2117.388248001093</v>
      </c>
      <c r="L21" s="17">
        <f>'Operating Cost Forecast'!G9</f>
        <v>2463.3668628630066</v>
      </c>
      <c r="M21" s="39">
        <f>'Operating Cost Forecast'!H9</f>
        <v>2813.4372539557239</v>
      </c>
    </row>
    <row r="22" spans="2:13" x14ac:dyDescent="0.3">
      <c r="B22" s="30" t="s">
        <v>77</v>
      </c>
      <c r="C22" s="15">
        <v>56.252899999999997</v>
      </c>
      <c r="D22" s="15">
        <v>54.550199999999997</v>
      </c>
      <c r="E22" s="15">
        <v>61.41</v>
      </c>
      <c r="F22" s="15">
        <v>59.31</v>
      </c>
      <c r="G22" s="15">
        <v>65.099999999999994</v>
      </c>
      <c r="H22" s="15">
        <v>94.14</v>
      </c>
      <c r="I22" s="16">
        <f>'CapEx &amp; Depreciation Schedule'!D9</f>
        <v>89.718299999999999</v>
      </c>
      <c r="J22" s="16">
        <f>'CapEx &amp; Depreciation Schedule'!E9</f>
        <v>93.789898499999993</v>
      </c>
      <c r="K22" s="16">
        <f>'CapEx &amp; Depreciation Schedule'!F9</f>
        <v>102.74436030000003</v>
      </c>
      <c r="L22" s="16">
        <f>'CapEx &amp; Depreciation Schedule'!G9</f>
        <v>116.19548824000002</v>
      </c>
      <c r="M22" s="38">
        <f>'CapEx &amp; Depreciation Schedule'!H9</f>
        <v>130.95639059200002</v>
      </c>
    </row>
    <row r="23" spans="2:13" x14ac:dyDescent="0.3">
      <c r="B23" s="30" t="s">
        <v>78</v>
      </c>
      <c r="C23" s="15">
        <v>120.5009</v>
      </c>
      <c r="D23" s="15">
        <v>177.88820000000001</v>
      </c>
      <c r="E23" s="15">
        <v>226.84</v>
      </c>
      <c r="F23" s="15">
        <v>303.63</v>
      </c>
      <c r="G23" s="15">
        <v>575.53</v>
      </c>
      <c r="H23" s="15">
        <v>983.77</v>
      </c>
      <c r="I23" s="17">
        <f>'Operating Cost Forecast'!D15+'Operating Cost Forecast'!D19+'Operating Cost Forecast'!D23+'Operating Cost Forecast'!D27+'Operating Cost Forecast'!D31</f>
        <v>1255.0064288474891</v>
      </c>
      <c r="J23" s="17">
        <f>'Operating Cost Forecast'!E15+'Operating Cost Forecast'!E19+'Operating Cost Forecast'!E23+'Operating Cost Forecast'!E27+'Operating Cost Forecast'!E31</f>
        <v>1545.814302252935</v>
      </c>
      <c r="K23" s="17">
        <f>'Operating Cost Forecast'!F15+'Operating Cost Forecast'!F19+'Operating Cost Forecast'!F23+'Operating Cost Forecast'!F27+'Operating Cost Forecast'!F31</f>
        <v>1835.3327094523936</v>
      </c>
      <c r="L23" s="17">
        <f>'Operating Cost Forecast'!G15+'Operating Cost Forecast'!G19+'Operating Cost Forecast'!G23+'Operating Cost Forecast'!G27+'Operating Cost Forecast'!G31</f>
        <v>2124.1762643184024</v>
      </c>
      <c r="M23" s="39">
        <f>'Operating Cost Forecast'!H15+'Operating Cost Forecast'!H19+'Operating Cost Forecast'!H23+'Operating Cost Forecast'!H27+'Operating Cost Forecast'!H31</f>
        <v>2431.694496544902</v>
      </c>
    </row>
    <row r="24" spans="2:13" x14ac:dyDescent="0.3">
      <c r="B24" s="31" t="s">
        <v>79</v>
      </c>
      <c r="C24" s="2">
        <f t="shared" ref="C24:H24" si="2">SUM(C17:C23)</f>
        <v>3106.7309</v>
      </c>
      <c r="D24" s="2">
        <f t="shared" si="2"/>
        <v>1550.8568</v>
      </c>
      <c r="E24" s="2">
        <f t="shared" si="2"/>
        <v>1264.6699999999998</v>
      </c>
      <c r="F24" s="2">
        <f t="shared" si="2"/>
        <v>1829.6799999999998</v>
      </c>
      <c r="G24" s="2">
        <f t="shared" si="2"/>
        <v>4358.2400000000007</v>
      </c>
      <c r="H24" s="2">
        <f t="shared" si="2"/>
        <v>6072.0400000000009</v>
      </c>
      <c r="I24" s="5">
        <f>SUM(I17:I23)</f>
        <v>8869.1805343467258</v>
      </c>
      <c r="J24" s="5">
        <f>SUM(J17:J23)</f>
        <v>11788.076201525482</v>
      </c>
      <c r="K24" s="5">
        <f>SUM(K17:K23)</f>
        <v>14979.957978708777</v>
      </c>
      <c r="L24" s="5">
        <f>SUM(L17:L23)</f>
        <v>18472.704361576903</v>
      </c>
      <c r="M24" s="40">
        <f>SUM(M17:M23)</f>
        <v>22177.064457024877</v>
      </c>
    </row>
    <row r="25" spans="2:13" x14ac:dyDescent="0.3">
      <c r="B25" s="31" t="s">
        <v>80</v>
      </c>
      <c r="C25" s="2">
        <f t="shared" ref="C25:H25" si="3">C15-C24</f>
        <v>-754.25340000000051</v>
      </c>
      <c r="D25" s="2">
        <f t="shared" si="3"/>
        <v>490.17259999999965</v>
      </c>
      <c r="E25" s="2">
        <f t="shared" si="3"/>
        <v>743.61000000000035</v>
      </c>
      <c r="F25" s="2">
        <f t="shared" si="3"/>
        <v>1317.65</v>
      </c>
      <c r="G25" s="2">
        <f t="shared" si="3"/>
        <v>-135.40000000000055</v>
      </c>
      <c r="H25" s="2">
        <f t="shared" si="3"/>
        <v>723.60999999999967</v>
      </c>
      <c r="I25" s="5">
        <f>I15-I24</f>
        <v>2381.2281871532723</v>
      </c>
      <c r="J25" s="5">
        <f>J15-J24</f>
        <v>4166.1160348870162</v>
      </c>
      <c r="K25" s="5">
        <f>K15-K24</f>
        <v>6033.5741906771636</v>
      </c>
      <c r="L25" s="5">
        <f>L15-L24</f>
        <v>7937.4343407663</v>
      </c>
      <c r="M25" s="40">
        <f>M15-M24</f>
        <v>10466.644161664473</v>
      </c>
    </row>
    <row r="26" spans="2:13" x14ac:dyDescent="0.3">
      <c r="B26" s="30" t="s">
        <v>81</v>
      </c>
      <c r="C26" s="15">
        <v>5.4847999999999999</v>
      </c>
      <c r="D26" s="15">
        <v>1.5015000000000001</v>
      </c>
      <c r="E26" s="15">
        <v>0</v>
      </c>
      <c r="F26" s="15">
        <v>0</v>
      </c>
      <c r="G26" s="15">
        <v>0</v>
      </c>
      <c r="H26" s="15"/>
      <c r="I26" s="16"/>
      <c r="J26" s="16"/>
      <c r="K26" s="16"/>
      <c r="L26" s="16"/>
      <c r="M26" s="38"/>
    </row>
    <row r="27" spans="2:13" x14ac:dyDescent="0.3">
      <c r="B27" s="31" t="s">
        <v>82</v>
      </c>
      <c r="C27" s="2">
        <f t="shared" ref="C27:H27" si="4">C25+C26</f>
        <v>-748.76860000000056</v>
      </c>
      <c r="D27" s="2">
        <f t="shared" si="4"/>
        <v>491.67409999999967</v>
      </c>
      <c r="E27" s="2">
        <f t="shared" si="4"/>
        <v>743.61000000000035</v>
      </c>
      <c r="F27" s="2">
        <f t="shared" si="4"/>
        <v>1317.65</v>
      </c>
      <c r="G27" s="2">
        <f t="shared" si="4"/>
        <v>-135.40000000000055</v>
      </c>
      <c r="H27" s="2">
        <f t="shared" si="4"/>
        <v>723.60999999999967</v>
      </c>
      <c r="I27" s="5">
        <f>I25+I26</f>
        <v>2381.2281871532723</v>
      </c>
      <c r="J27" s="5">
        <f>J25+J26</f>
        <v>4166.1160348870162</v>
      </c>
      <c r="K27" s="5">
        <f>K25+K26</f>
        <v>6033.5741906771636</v>
      </c>
      <c r="L27" s="5">
        <f>L25+L26</f>
        <v>7937.4343407663</v>
      </c>
      <c r="M27" s="40">
        <f>M25+M26</f>
        <v>10466.644161664473</v>
      </c>
    </row>
    <row r="28" spans="2:13" x14ac:dyDescent="0.3">
      <c r="B28" s="30" t="s">
        <v>83</v>
      </c>
      <c r="C28" s="15"/>
      <c r="D28" s="15"/>
      <c r="E28" s="15">
        <v>7.39</v>
      </c>
      <c r="F28" s="15">
        <v>816.52</v>
      </c>
      <c r="G28" s="15">
        <v>0</v>
      </c>
      <c r="H28" s="15"/>
      <c r="I28" s="16"/>
      <c r="J28" s="16"/>
      <c r="K28" s="16"/>
      <c r="L28" s="16"/>
      <c r="M28" s="38"/>
    </row>
    <row r="29" spans="2:13" x14ac:dyDescent="0.3">
      <c r="B29" s="31" t="s">
        <v>84</v>
      </c>
      <c r="C29" s="2">
        <f t="shared" ref="C29:H29" si="5">C27+C28</f>
        <v>-748.76860000000056</v>
      </c>
      <c r="D29" s="2">
        <f t="shared" si="5"/>
        <v>491.67409999999967</v>
      </c>
      <c r="E29" s="2">
        <f t="shared" si="5"/>
        <v>751.00000000000034</v>
      </c>
      <c r="F29" s="2">
        <f t="shared" si="5"/>
        <v>2134.17</v>
      </c>
      <c r="G29" s="2">
        <f t="shared" si="5"/>
        <v>-135.40000000000055</v>
      </c>
      <c r="H29" s="2">
        <f t="shared" si="5"/>
        <v>723.60999999999967</v>
      </c>
      <c r="I29" s="5">
        <f>I27+I28</f>
        <v>2381.2281871532723</v>
      </c>
      <c r="J29" s="5">
        <f>J27+J28</f>
        <v>4166.1160348870162</v>
      </c>
      <c r="K29" s="5">
        <f>K27+K28</f>
        <v>6033.5741906771636</v>
      </c>
      <c r="L29" s="5">
        <f>L27+L28</f>
        <v>7937.4343407663</v>
      </c>
      <c r="M29" s="40">
        <f>M27+M28</f>
        <v>10466.644161664473</v>
      </c>
    </row>
    <row r="30" spans="2:13" x14ac:dyDescent="0.3">
      <c r="B30" s="30" t="s">
        <v>85</v>
      </c>
      <c r="C30" s="15">
        <v>12.02</v>
      </c>
      <c r="D30" s="15">
        <v>23.589700000000001</v>
      </c>
      <c r="E30" s="15">
        <v>24.18</v>
      </c>
      <c r="F30" s="15">
        <v>610.13</v>
      </c>
      <c r="G30" s="15">
        <v>0</v>
      </c>
      <c r="H30" s="15">
        <v>57.34</v>
      </c>
      <c r="I30" s="16">
        <f>I33-I31-I32</f>
        <v>636.85415097289365</v>
      </c>
      <c r="J30" s="16">
        <f>J33-J31-J32</f>
        <v>1092.4678789596771</v>
      </c>
      <c r="K30" s="16">
        <f>K33-K31-K32</f>
        <v>1568.3301979958744</v>
      </c>
      <c r="L30" s="16">
        <f>L33-L31-L32</f>
        <v>2052.5949946645687</v>
      </c>
      <c r="M30" s="38">
        <f>M33-M31-M32</f>
        <v>2695.6320445793922</v>
      </c>
    </row>
    <row r="31" spans="2:13" x14ac:dyDescent="0.3">
      <c r="B31" s="30" t="s">
        <v>86</v>
      </c>
      <c r="C31" s="15">
        <v>0.47449999999999998</v>
      </c>
      <c r="D31" s="15">
        <v>-1.9713000000000001</v>
      </c>
      <c r="E31" s="15">
        <v>0</v>
      </c>
      <c r="F31" s="15">
        <v>-9.73</v>
      </c>
      <c r="G31" s="15">
        <v>0.26</v>
      </c>
      <c r="H31" s="15">
        <v>-0.01</v>
      </c>
      <c r="I31" s="16"/>
      <c r="J31" s="16"/>
      <c r="K31" s="16"/>
      <c r="L31" s="16"/>
      <c r="M31" s="38"/>
    </row>
    <row r="32" spans="2:13" x14ac:dyDescent="0.3">
      <c r="B32" s="30" t="s">
        <v>87</v>
      </c>
      <c r="C32" s="15">
        <v>-202.2987</v>
      </c>
      <c r="D32" s="15">
        <v>94.645700000000005</v>
      </c>
      <c r="E32" s="15">
        <v>157.01</v>
      </c>
      <c r="F32" s="15">
        <v>-117.74</v>
      </c>
      <c r="G32" s="15">
        <v>-37.32</v>
      </c>
      <c r="H32" s="15">
        <v>124.47</v>
      </c>
      <c r="I32" s="16">
        <f>-('Balance Sheet'!I20-'Balance Sheet'!H20)</f>
        <v>-37.49901626641514</v>
      </c>
      <c r="J32" s="16">
        <f>-('Balance Sheet'!J20-'Balance Sheet'!I20)</f>
        <v>-43.85647297861523</v>
      </c>
      <c r="K32" s="16">
        <f>-('Balance Sheet'!K20-'Balance Sheet'!J20)</f>
        <v>-49.679574202432406</v>
      </c>
      <c r="L32" s="16">
        <f>-('Balance Sheet'!L20-'Balance Sheet'!K20)</f>
        <v>-54.74277109369126</v>
      </c>
      <c r="M32" s="38">
        <f>-('Balance Sheet'!M20-'Balance Sheet'!L20)</f>
        <v>-61.177709088444374</v>
      </c>
    </row>
    <row r="33" spans="2:13" x14ac:dyDescent="0.3">
      <c r="B33" s="31" t="s">
        <v>88</v>
      </c>
      <c r="C33" s="2">
        <f t="shared" ref="C33:H33" si="6">SUM(C30:C32)</f>
        <v>-189.80420000000001</v>
      </c>
      <c r="D33" s="2">
        <f t="shared" si="6"/>
        <v>116.26410000000001</v>
      </c>
      <c r="E33" s="2">
        <f t="shared" si="6"/>
        <v>181.19</v>
      </c>
      <c r="F33" s="2">
        <f t="shared" si="6"/>
        <v>482.65999999999997</v>
      </c>
      <c r="G33" s="2">
        <f t="shared" si="6"/>
        <v>-37.06</v>
      </c>
      <c r="H33" s="2">
        <f t="shared" si="6"/>
        <v>181.8</v>
      </c>
      <c r="I33" s="5">
        <f>MAX(I29,0)*Assumptions!D16</f>
        <v>599.35513470647857</v>
      </c>
      <c r="J33" s="5">
        <f>MAX(J29,0)*Assumptions!E16</f>
        <v>1048.6114059810618</v>
      </c>
      <c r="K33" s="5">
        <f>MAX(K29,0)*Assumptions!F16</f>
        <v>1518.650623793442</v>
      </c>
      <c r="L33" s="5">
        <f>MAX(L29,0)*Assumptions!G16</f>
        <v>1997.8522235708776</v>
      </c>
      <c r="M33" s="40">
        <f>MAX(M29,0)*Assumptions!H16</f>
        <v>2634.4543354909479</v>
      </c>
    </row>
    <row r="34" spans="2:13" x14ac:dyDescent="0.3">
      <c r="B34" s="31" t="s">
        <v>89</v>
      </c>
      <c r="C34" s="2">
        <f t="shared" ref="C34:H34" si="7">C29-C33</f>
        <v>-558.96440000000052</v>
      </c>
      <c r="D34" s="2">
        <f t="shared" si="7"/>
        <v>375.40999999999963</v>
      </c>
      <c r="E34" s="2">
        <f t="shared" si="7"/>
        <v>569.8100000000004</v>
      </c>
      <c r="F34" s="2">
        <f t="shared" si="7"/>
        <v>1651.5100000000002</v>
      </c>
      <c r="G34" s="2">
        <f t="shared" si="7"/>
        <v>-98.340000000000543</v>
      </c>
      <c r="H34" s="2">
        <f t="shared" si="7"/>
        <v>541.80999999999972</v>
      </c>
      <c r="I34" s="5">
        <f>I29-I33</f>
        <v>1781.8730524467937</v>
      </c>
      <c r="J34" s="5">
        <f>J29-J33</f>
        <v>3117.5046289059546</v>
      </c>
      <c r="K34" s="5">
        <f>K29-K33</f>
        <v>4514.9235668837218</v>
      </c>
      <c r="L34" s="5">
        <f>L29-L33</f>
        <v>5939.5821171954221</v>
      </c>
      <c r="M34" s="40">
        <f>M29-M33</f>
        <v>7832.1898261735259</v>
      </c>
    </row>
    <row r="35" spans="2:13" x14ac:dyDescent="0.3">
      <c r="B35" s="30" t="s">
        <v>90</v>
      </c>
      <c r="C35" s="15"/>
      <c r="D35" s="15"/>
      <c r="E35" s="15">
        <v>154.19</v>
      </c>
      <c r="F35" s="15">
        <v>42.07</v>
      </c>
      <c r="G35" s="15">
        <v>0</v>
      </c>
      <c r="H35" s="15"/>
      <c r="I35" s="16"/>
      <c r="J35" s="16"/>
      <c r="K35" s="16"/>
      <c r="L35" s="16"/>
      <c r="M35" s="38"/>
    </row>
    <row r="36" spans="2:13" x14ac:dyDescent="0.3">
      <c r="B36" s="30" t="s">
        <v>91</v>
      </c>
      <c r="C36" s="15"/>
      <c r="D36" s="15"/>
      <c r="E36" s="15">
        <v>38.97</v>
      </c>
      <c r="F36" s="15">
        <v>10.52</v>
      </c>
      <c r="G36" s="15">
        <v>0</v>
      </c>
      <c r="H36" s="15"/>
      <c r="I36" s="16"/>
      <c r="J36" s="16"/>
      <c r="K36" s="16"/>
      <c r="L36" s="16"/>
      <c r="M36" s="38"/>
    </row>
    <row r="37" spans="2:13" x14ac:dyDescent="0.3">
      <c r="B37" s="31" t="s">
        <v>92</v>
      </c>
      <c r="C37" s="2">
        <f t="shared" ref="C37:H37" si="8">C35-C36</f>
        <v>0</v>
      </c>
      <c r="D37" s="2">
        <f t="shared" si="8"/>
        <v>0</v>
      </c>
      <c r="E37" s="2">
        <f t="shared" si="8"/>
        <v>115.22</v>
      </c>
      <c r="F37" s="2">
        <f t="shared" si="8"/>
        <v>31.55</v>
      </c>
      <c r="G37" s="2">
        <f t="shared" si="8"/>
        <v>0</v>
      </c>
      <c r="H37" s="2">
        <f t="shared" si="8"/>
        <v>0</v>
      </c>
      <c r="I37" s="5">
        <f>I35-I36</f>
        <v>0</v>
      </c>
      <c r="J37" s="5">
        <f>J35-J36</f>
        <v>0</v>
      </c>
      <c r="K37" s="5">
        <f>K35-K36</f>
        <v>0</v>
      </c>
      <c r="L37" s="5">
        <f>L35-L36</f>
        <v>0</v>
      </c>
      <c r="M37" s="40">
        <f>M35-M36</f>
        <v>0</v>
      </c>
    </row>
    <row r="38" spans="2:13" x14ac:dyDescent="0.3">
      <c r="B38" s="31" t="s">
        <v>93</v>
      </c>
      <c r="C38" s="2">
        <f t="shared" ref="C38:H38" si="9">C34+C37</f>
        <v>-558.96440000000052</v>
      </c>
      <c r="D38" s="2">
        <f t="shared" si="9"/>
        <v>375.40999999999963</v>
      </c>
      <c r="E38" s="2">
        <f t="shared" si="9"/>
        <v>685.03000000000043</v>
      </c>
      <c r="F38" s="2">
        <f t="shared" si="9"/>
        <v>1683.0600000000002</v>
      </c>
      <c r="G38" s="2">
        <f t="shared" si="9"/>
        <v>-98.340000000000543</v>
      </c>
      <c r="H38" s="2">
        <f t="shared" si="9"/>
        <v>541.80999999999972</v>
      </c>
      <c r="I38" s="5">
        <f>I34+I37</f>
        <v>1781.8730524467937</v>
      </c>
      <c r="J38" s="5">
        <f>J34+J37</f>
        <v>3117.5046289059546</v>
      </c>
      <c r="K38" s="5">
        <f>K34+K37</f>
        <v>4514.9235668837218</v>
      </c>
      <c r="L38" s="5">
        <f>L34+L37</f>
        <v>5939.5821171954221</v>
      </c>
      <c r="M38" s="40">
        <f>M34+M37</f>
        <v>7832.1898261735259</v>
      </c>
    </row>
    <row r="39" spans="2:13" x14ac:dyDescent="0.3">
      <c r="B39" s="28" t="s">
        <v>94</v>
      </c>
      <c r="C39" s="13"/>
      <c r="D39" s="13"/>
      <c r="E39" s="13"/>
      <c r="F39" s="13"/>
      <c r="G39" s="13"/>
      <c r="H39" s="13"/>
      <c r="I39" s="19"/>
      <c r="J39" s="19"/>
      <c r="K39" s="19"/>
      <c r="L39" s="19"/>
      <c r="M39" s="42"/>
    </row>
    <row r="40" spans="2:13" x14ac:dyDescent="0.3">
      <c r="B40" s="30" t="s">
        <v>95</v>
      </c>
      <c r="C40" s="15">
        <v>2.0825</v>
      </c>
      <c r="D40" s="15">
        <v>-0.6482</v>
      </c>
      <c r="E40" s="15">
        <v>1.62</v>
      </c>
      <c r="F40" s="15">
        <v>0.61</v>
      </c>
      <c r="G40" s="15">
        <v>-1.47</v>
      </c>
      <c r="H40" s="15">
        <v>-1.53</v>
      </c>
      <c r="I40" s="16"/>
      <c r="J40" s="16"/>
      <c r="K40" s="16"/>
      <c r="L40" s="16"/>
      <c r="M40" s="38"/>
    </row>
    <row r="41" spans="2:13" x14ac:dyDescent="0.3">
      <c r="B41" s="30" t="s">
        <v>96</v>
      </c>
      <c r="C41" s="15">
        <v>-1.504</v>
      </c>
      <c r="D41" s="15">
        <v>9.7609999999999992</v>
      </c>
      <c r="E41" s="15">
        <v>-7.12</v>
      </c>
      <c r="F41" s="15">
        <v>0.22</v>
      </c>
      <c r="G41" s="15">
        <v>-12.61</v>
      </c>
      <c r="H41" s="15">
        <v>26.23</v>
      </c>
      <c r="I41" s="16"/>
      <c r="J41" s="16"/>
      <c r="K41" s="16"/>
      <c r="L41" s="16"/>
      <c r="M41" s="38"/>
    </row>
    <row r="42" spans="2:13" x14ac:dyDescent="0.3">
      <c r="B42" s="30" t="s">
        <v>97</v>
      </c>
      <c r="C42" s="15"/>
      <c r="D42" s="15"/>
      <c r="E42" s="15">
        <v>0.14000000000000001</v>
      </c>
      <c r="F42" s="15">
        <v>-0.19</v>
      </c>
      <c r="G42" s="15">
        <v>0</v>
      </c>
      <c r="H42" s="15"/>
      <c r="I42" s="16"/>
      <c r="J42" s="16"/>
      <c r="K42" s="16"/>
      <c r="L42" s="16"/>
      <c r="M42" s="38"/>
    </row>
    <row r="43" spans="2:13" x14ac:dyDescent="0.3">
      <c r="B43" s="31" t="s">
        <v>98</v>
      </c>
      <c r="C43" s="2">
        <f t="shared" ref="C43:H43" si="10">SUM(C40:C42)</f>
        <v>0.57850000000000001</v>
      </c>
      <c r="D43" s="2">
        <f t="shared" si="10"/>
        <v>9.1128</v>
      </c>
      <c r="E43" s="2">
        <f t="shared" si="10"/>
        <v>-5.36</v>
      </c>
      <c r="F43" s="2">
        <f t="shared" si="10"/>
        <v>0.6399999999999999</v>
      </c>
      <c r="G43" s="2">
        <f t="shared" si="10"/>
        <v>-14.08</v>
      </c>
      <c r="H43" s="2">
        <f t="shared" si="10"/>
        <v>24.7</v>
      </c>
      <c r="I43" s="5">
        <f>SUM(I40:I42)</f>
        <v>0</v>
      </c>
      <c r="J43" s="5">
        <f>SUM(J40:J42)</f>
        <v>0</v>
      </c>
      <c r="K43" s="5">
        <f>SUM(K40:K42)</f>
        <v>0</v>
      </c>
      <c r="L43" s="5">
        <f>SUM(L40:L42)</f>
        <v>0</v>
      </c>
      <c r="M43" s="40">
        <f>SUM(M40:M42)</f>
        <v>0</v>
      </c>
    </row>
    <row r="44" spans="2:13" x14ac:dyDescent="0.3">
      <c r="B44" s="31" t="s">
        <v>99</v>
      </c>
      <c r="C44" s="2">
        <f t="shared" ref="C44:H44" si="11">C38+C43</f>
        <v>-558.38590000000056</v>
      </c>
      <c r="D44" s="2">
        <f t="shared" si="11"/>
        <v>384.52279999999962</v>
      </c>
      <c r="E44" s="2">
        <f t="shared" si="11"/>
        <v>679.67000000000041</v>
      </c>
      <c r="F44" s="2">
        <f t="shared" si="11"/>
        <v>1683.7000000000003</v>
      </c>
      <c r="G44" s="2">
        <f t="shared" si="11"/>
        <v>-112.42000000000054</v>
      </c>
      <c r="H44" s="2">
        <f t="shared" si="11"/>
        <v>566.50999999999976</v>
      </c>
      <c r="I44" s="5">
        <f>I38+I43</f>
        <v>1781.8730524467937</v>
      </c>
      <c r="J44" s="5">
        <f>J38+J43</f>
        <v>3117.5046289059546</v>
      </c>
      <c r="K44" s="5">
        <f>K38+K43</f>
        <v>4514.9235668837218</v>
      </c>
      <c r="L44" s="5">
        <f>L38+L43</f>
        <v>5939.5821171954221</v>
      </c>
      <c r="M44" s="40">
        <f>M38+M43</f>
        <v>7832.1898261735259</v>
      </c>
    </row>
    <row r="45" spans="2:13" x14ac:dyDescent="0.3">
      <c r="B45" s="30" t="s">
        <v>100</v>
      </c>
      <c r="C45" s="15">
        <v>-558.96439999999996</v>
      </c>
      <c r="D45" s="15">
        <v>375.11610000000002</v>
      </c>
      <c r="E45" s="15">
        <v>683.98</v>
      </c>
      <c r="F45" s="15">
        <v>1682.75</v>
      </c>
      <c r="G45" s="15">
        <v>-98.34</v>
      </c>
      <c r="H45" s="15">
        <v>541.80999999999995</v>
      </c>
      <c r="I45" s="16">
        <f>I38</f>
        <v>1781.8730524467937</v>
      </c>
      <c r="J45" s="16">
        <f>J38</f>
        <v>3117.5046289059546</v>
      </c>
      <c r="K45" s="16">
        <f>K38</f>
        <v>4514.9235668837218</v>
      </c>
      <c r="L45" s="16">
        <f>L38</f>
        <v>5939.5821171954221</v>
      </c>
      <c r="M45" s="38">
        <f>M38</f>
        <v>7832.1898261735259</v>
      </c>
    </row>
    <row r="46" spans="2:13" x14ac:dyDescent="0.3">
      <c r="B46" s="30" t="s">
        <v>101</v>
      </c>
      <c r="C46" s="15">
        <v>0</v>
      </c>
      <c r="D46" s="15">
        <v>0.29389999999999999</v>
      </c>
      <c r="E46" s="15">
        <v>1.06</v>
      </c>
      <c r="F46" s="15">
        <v>0.31</v>
      </c>
      <c r="G46" s="15">
        <v>0</v>
      </c>
      <c r="H46" s="15">
        <v>0</v>
      </c>
      <c r="I46" s="16"/>
      <c r="J46" s="16"/>
      <c r="K46" s="16"/>
      <c r="L46" s="16"/>
      <c r="M46" s="38"/>
    </row>
    <row r="47" spans="2:13" x14ac:dyDescent="0.3">
      <c r="B47" s="30" t="s">
        <v>102</v>
      </c>
      <c r="C47" s="15">
        <v>0.57850000000000001</v>
      </c>
      <c r="D47" s="15">
        <v>9.1067999999999998</v>
      </c>
      <c r="E47" s="15">
        <v>-5.36</v>
      </c>
      <c r="F47" s="15">
        <v>0.64</v>
      </c>
      <c r="G47" s="15">
        <v>-14.08</v>
      </c>
      <c r="H47" s="15">
        <v>24.7</v>
      </c>
      <c r="I47" s="16"/>
      <c r="J47" s="16"/>
      <c r="K47" s="16"/>
      <c r="L47" s="16"/>
      <c r="M47" s="38"/>
    </row>
    <row r="48" spans="2:13" x14ac:dyDescent="0.3">
      <c r="B48" s="30" t="s">
        <v>103</v>
      </c>
      <c r="C48" s="15">
        <v>0</v>
      </c>
      <c r="D48" s="15">
        <v>6.0000000000000001E-3</v>
      </c>
      <c r="E48" s="15">
        <v>0</v>
      </c>
      <c r="F48" s="15">
        <v>0</v>
      </c>
      <c r="G48" s="15">
        <v>0</v>
      </c>
      <c r="H48" s="15">
        <v>0</v>
      </c>
      <c r="I48" s="16"/>
      <c r="J48" s="16"/>
      <c r="K48" s="16"/>
      <c r="L48" s="16"/>
      <c r="M48" s="38"/>
    </row>
    <row r="49" spans="2:13" x14ac:dyDescent="0.3">
      <c r="B49" s="30" t="s">
        <v>104</v>
      </c>
      <c r="C49" s="15">
        <v>-558.38589999999999</v>
      </c>
      <c r="D49" s="15">
        <v>384.22289999999998</v>
      </c>
      <c r="E49" s="15">
        <v>678.61</v>
      </c>
      <c r="F49" s="15">
        <v>1683.39</v>
      </c>
      <c r="G49" s="15">
        <v>-112.42</v>
      </c>
      <c r="H49" s="15">
        <v>566.51</v>
      </c>
      <c r="I49" s="16">
        <f>I44</f>
        <v>1781.8730524467937</v>
      </c>
      <c r="J49" s="16">
        <f>J44</f>
        <v>3117.5046289059546</v>
      </c>
      <c r="K49" s="16">
        <f>K44</f>
        <v>4514.9235668837218</v>
      </c>
      <c r="L49" s="16">
        <f>L44</f>
        <v>5939.5821171954221</v>
      </c>
      <c r="M49" s="38">
        <f>M44</f>
        <v>7832.1898261735259</v>
      </c>
    </row>
    <row r="50" spans="2:13" x14ac:dyDescent="0.3">
      <c r="B50" s="30" t="s">
        <v>105</v>
      </c>
      <c r="C50" s="15">
        <v>0</v>
      </c>
      <c r="D50" s="15">
        <v>0.2999</v>
      </c>
      <c r="E50" s="15">
        <v>1.06</v>
      </c>
      <c r="F50" s="15">
        <v>0.31</v>
      </c>
      <c r="G50" s="15">
        <v>0</v>
      </c>
      <c r="H50" s="15">
        <v>0</v>
      </c>
      <c r="I50" s="16"/>
      <c r="J50" s="16"/>
      <c r="K50" s="16"/>
      <c r="L50" s="16"/>
      <c r="M50" s="38"/>
    </row>
    <row r="51" spans="2:13" x14ac:dyDescent="0.3">
      <c r="B51" s="30" t="s">
        <v>106</v>
      </c>
      <c r="C51" s="15"/>
      <c r="D51" s="15"/>
      <c r="E51" s="15">
        <v>7.44</v>
      </c>
      <c r="F51" s="15">
        <v>21.48</v>
      </c>
      <c r="G51" s="15">
        <v>-1.27</v>
      </c>
      <c r="H51" s="15"/>
      <c r="I51" s="16"/>
      <c r="J51" s="16"/>
      <c r="K51" s="16"/>
      <c r="L51" s="16"/>
      <c r="M51" s="38"/>
    </row>
    <row r="52" spans="2:13" x14ac:dyDescent="0.3">
      <c r="B52" s="30" t="s">
        <v>107</v>
      </c>
      <c r="C52" s="15"/>
      <c r="D52" s="15"/>
      <c r="E52" s="15">
        <v>7.37</v>
      </c>
      <c r="F52" s="15">
        <v>21.23</v>
      </c>
      <c r="G52" s="15">
        <v>-1.27</v>
      </c>
      <c r="H52" s="15"/>
      <c r="I52" s="16"/>
      <c r="J52" s="16"/>
      <c r="K52" s="16"/>
      <c r="L52" s="16"/>
      <c r="M52" s="38"/>
    </row>
    <row r="53" spans="2:13" x14ac:dyDescent="0.3">
      <c r="B53" s="30" t="s">
        <v>108</v>
      </c>
      <c r="C53" s="15"/>
      <c r="D53" s="15"/>
      <c r="E53" s="15">
        <v>1.51</v>
      </c>
      <c r="F53" s="15">
        <v>0.41</v>
      </c>
      <c r="G53" s="15">
        <v>0</v>
      </c>
      <c r="H53" s="15"/>
      <c r="I53" s="16"/>
      <c r="J53" s="16"/>
      <c r="K53" s="16"/>
      <c r="L53" s="16"/>
      <c r="M53" s="38"/>
    </row>
    <row r="54" spans="2:13" x14ac:dyDescent="0.3">
      <c r="B54" s="30" t="s">
        <v>109</v>
      </c>
      <c r="C54" s="15"/>
      <c r="D54" s="15"/>
      <c r="E54" s="15">
        <v>1.49</v>
      </c>
      <c r="F54" s="15">
        <v>0.4</v>
      </c>
      <c r="G54" s="15">
        <v>0</v>
      </c>
      <c r="H54" s="15"/>
      <c r="I54" s="16"/>
      <c r="J54" s="16"/>
      <c r="K54" s="16"/>
      <c r="L54" s="16"/>
      <c r="M54" s="38"/>
    </row>
    <row r="55" spans="2:13" x14ac:dyDescent="0.3">
      <c r="B55" s="30" t="s">
        <v>110</v>
      </c>
      <c r="C55" s="15">
        <v>-0.2074</v>
      </c>
      <c r="D55" s="15">
        <v>5.2299999999999999E-2</v>
      </c>
      <c r="E55" s="15">
        <v>8.9499999999999993</v>
      </c>
      <c r="F55" s="15">
        <v>21.89</v>
      </c>
      <c r="G55" s="15">
        <v>-1.27</v>
      </c>
      <c r="H55" s="15">
        <v>6.84</v>
      </c>
      <c r="I55" s="16">
        <f>IFERROR(I38/'Balance Sheet'!I52*Assumptions!D18,"")</f>
        <v>13.336712212887623</v>
      </c>
      <c r="J55" s="16">
        <f>IFERROR(J38/'Balance Sheet'!J52*Assumptions!E18,"")</f>
        <v>16.28868680685822</v>
      </c>
      <c r="K55" s="16">
        <f>IFERROR(K38/'Balance Sheet'!K52*Assumptions!F18,"")</f>
        <v>17.640215725724218</v>
      </c>
      <c r="L55" s="16">
        <f>IFERROR(L38/'Balance Sheet'!L52*Assumptions!G18,"")</f>
        <v>18.177651963850511</v>
      </c>
      <c r="M55" s="38">
        <f>IFERROR(M38/'Balance Sheet'!M52*Assumptions!H18,"")</f>
        <v>19.329017593005378</v>
      </c>
    </row>
    <row r="56" spans="2:13" x14ac:dyDescent="0.3">
      <c r="B56" s="54" t="s">
        <v>111</v>
      </c>
      <c r="C56" s="52">
        <v>-0.2074</v>
      </c>
      <c r="D56" s="52">
        <v>5.1700000000000003E-2</v>
      </c>
      <c r="E56" s="52">
        <v>8.86</v>
      </c>
      <c r="F56" s="52">
        <v>21.63</v>
      </c>
      <c r="G56" s="52">
        <v>-1.27</v>
      </c>
      <c r="H56" s="52">
        <v>6.82</v>
      </c>
      <c r="I56" s="53">
        <f>I55</f>
        <v>13.336712212887623</v>
      </c>
      <c r="J56" s="53">
        <f>J55</f>
        <v>16.28868680685822</v>
      </c>
      <c r="K56" s="53">
        <f>K55</f>
        <v>17.640215725724218</v>
      </c>
      <c r="L56" s="53">
        <f>L55</f>
        <v>18.177651963850511</v>
      </c>
      <c r="M56" s="56">
        <f>M55</f>
        <v>19.329017593005378</v>
      </c>
    </row>
  </sheetData>
  <mergeCells count="3">
    <mergeCell ref="B1:H1"/>
    <mergeCell ref="B2:H2"/>
    <mergeCell ref="B3:H3"/>
  </mergeCells>
  <hyperlinks>
    <hyperlink ref="O1" location="Home!A1" tooltip="Back to Home / Index" display="⌂ Home" xr:uid="{FDE18583-88C9-450A-A3CB-3FDC421BBC0A}"/>
  </hyperlinks>
  <pageMargins left="0.7" right="0.7" top="0.75" bottom="0.75" header="0.3" footer="0.3"/>
  <pageSetup scale="59" orientation="landscape"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48D7-E5DB-4082-9D85-9AA7C40C4B5C}">
  <sheetPr>
    <tabColor rgb="FFBFBFBF"/>
  </sheetPr>
  <dimension ref="B1:O63"/>
  <sheetViews>
    <sheetView showGridLines="0" topLeftCell="M1" zoomScaleNormal="100" workbookViewId="0">
      <selection activeCell="M1" sqref="M1:P1048576"/>
    </sheetView>
  </sheetViews>
  <sheetFormatPr defaultRowHeight="14.4" x14ac:dyDescent="0.3"/>
  <cols>
    <col min="1" max="1" width="1.77734375" customWidth="1"/>
    <col min="2" max="2" width="50.5546875" customWidth="1"/>
    <col min="3" max="9" width="9.109375" bestFit="1" customWidth="1"/>
    <col min="10" max="12" width="10.6640625" bestFit="1" customWidth="1"/>
    <col min="13" max="13" width="12.6640625" bestFit="1" customWidth="1"/>
    <col min="14" max="15" width="8.88671875" customWidth="1"/>
  </cols>
  <sheetData>
    <row r="1" spans="2:15" ht="24" customHeight="1" x14ac:dyDescent="0.3">
      <c r="B1" s="505" t="s">
        <v>0</v>
      </c>
      <c r="C1" s="549"/>
      <c r="D1" s="549"/>
      <c r="E1" s="549"/>
      <c r="F1" s="549"/>
      <c r="G1" s="549"/>
      <c r="H1" s="549"/>
      <c r="I1" s="195"/>
      <c r="J1" s="195"/>
      <c r="K1" s="195"/>
      <c r="L1" s="195"/>
      <c r="M1" s="196"/>
      <c r="O1" s="269" t="s">
        <v>891</v>
      </c>
    </row>
    <row r="2" spans="2:15" x14ac:dyDescent="0.3">
      <c r="B2" s="718" t="s">
        <v>1</v>
      </c>
      <c r="C2" s="719"/>
      <c r="D2" s="719"/>
      <c r="E2" s="719"/>
      <c r="F2" s="719"/>
      <c r="G2" s="719"/>
      <c r="H2" s="719"/>
      <c r="I2" s="719"/>
      <c r="J2" s="719"/>
      <c r="K2" s="719"/>
      <c r="L2" s="719"/>
      <c r="M2" s="720"/>
    </row>
    <row r="3" spans="2:15" ht="24" customHeight="1" x14ac:dyDescent="0.3">
      <c r="B3" s="511" t="s">
        <v>2</v>
      </c>
      <c r="C3" s="465"/>
      <c r="D3" s="465"/>
      <c r="E3" s="465"/>
      <c r="F3" s="465"/>
      <c r="G3" s="465"/>
      <c r="H3" s="465"/>
      <c r="M3" s="35"/>
    </row>
    <row r="4" spans="2:15" x14ac:dyDescent="0.3">
      <c r="B4" s="26"/>
      <c r="M4" s="35"/>
    </row>
    <row r="5" spans="2:15" ht="15" thickBot="1" x14ac:dyDescent="0.35">
      <c r="B5" s="47" t="s">
        <v>3</v>
      </c>
      <c r="C5" s="48" t="s">
        <v>4</v>
      </c>
      <c r="D5" s="48" t="s">
        <v>5</v>
      </c>
      <c r="E5" s="48" t="s">
        <v>6</v>
      </c>
      <c r="F5" s="48" t="s">
        <v>7</v>
      </c>
      <c r="G5" s="48" t="s">
        <v>8</v>
      </c>
      <c r="H5" s="48" t="s">
        <v>9</v>
      </c>
      <c r="I5" s="49" t="s">
        <v>257</v>
      </c>
      <c r="J5" s="49" t="s">
        <v>258</v>
      </c>
      <c r="K5" s="49" t="s">
        <v>259</v>
      </c>
      <c r="L5" s="49" t="s">
        <v>260</v>
      </c>
      <c r="M5" s="50" t="s">
        <v>261</v>
      </c>
    </row>
    <row r="6" spans="2:15" x14ac:dyDescent="0.3">
      <c r="B6" s="26"/>
      <c r="M6" s="35"/>
    </row>
    <row r="7" spans="2:15" x14ac:dyDescent="0.3">
      <c r="B7" s="28" t="s">
        <v>10</v>
      </c>
      <c r="C7" s="13"/>
      <c r="D7" s="13"/>
      <c r="E7" s="13"/>
      <c r="F7" s="13"/>
      <c r="G7" s="13"/>
      <c r="H7" s="13"/>
      <c r="I7" s="13"/>
      <c r="J7" s="13"/>
      <c r="K7" s="13"/>
      <c r="L7" s="13"/>
      <c r="M7" s="36"/>
    </row>
    <row r="8" spans="2:15" x14ac:dyDescent="0.3">
      <c r="B8" s="29" t="s">
        <v>11</v>
      </c>
      <c r="C8" s="14"/>
      <c r="D8" s="14"/>
      <c r="E8" s="14"/>
      <c r="F8" s="14"/>
      <c r="G8" s="14"/>
      <c r="H8" s="14"/>
      <c r="I8" s="14"/>
      <c r="J8" s="14"/>
      <c r="K8" s="14"/>
      <c r="L8" s="14"/>
      <c r="M8" s="37"/>
    </row>
    <row r="9" spans="2:15" x14ac:dyDescent="0.3">
      <c r="B9" s="30" t="s">
        <v>12</v>
      </c>
      <c r="C9" s="15">
        <v>357.82490000000001</v>
      </c>
      <c r="D9" s="15">
        <v>354.71480000000003</v>
      </c>
      <c r="E9" s="15">
        <v>601.38</v>
      </c>
      <c r="F9" s="15">
        <v>255.18</v>
      </c>
      <c r="G9" s="15">
        <v>24.65</v>
      </c>
      <c r="H9" s="15">
        <v>286</v>
      </c>
      <c r="I9" s="16">
        <f>$I$14*$C$63</f>
        <v>2544.3258286949999</v>
      </c>
      <c r="J9" s="16">
        <f>$J$14*$C$63</f>
        <v>3556.9043501328747</v>
      </c>
      <c r="K9" s="16">
        <f>$K$14*$C$63</f>
        <v>4703.9293244414812</v>
      </c>
      <c r="L9" s="16">
        <f>$L$14*$C$63</f>
        <v>5967.8557291136212</v>
      </c>
      <c r="M9" s="38">
        <f>$M$14*$C$63</f>
        <v>7380.3549568545177</v>
      </c>
    </row>
    <row r="10" spans="2:15" x14ac:dyDescent="0.3">
      <c r="B10" s="30" t="s">
        <v>13</v>
      </c>
      <c r="C10" s="15">
        <v>416.86090000000002</v>
      </c>
      <c r="D10" s="15">
        <v>242.2551</v>
      </c>
      <c r="E10" s="15">
        <v>56.05</v>
      </c>
      <c r="F10" s="15">
        <v>13.36</v>
      </c>
      <c r="G10" s="15">
        <v>7.64</v>
      </c>
      <c r="H10" s="15">
        <v>7.68</v>
      </c>
      <c r="I10" s="16">
        <f>$I$14*0.0721*H10/($H$31-$H$14-$H$9)</f>
        <v>11.641381635846882</v>
      </c>
      <c r="J10" s="16">
        <f>$J$14*0.0721*H10/($H$31-$H$14-$H$9)</f>
        <v>16.274362550231544</v>
      </c>
      <c r="K10" s="16">
        <f>$K$14*0.0721*H10/($H$31-$H$14-$H$9)</f>
        <v>21.522493635165254</v>
      </c>
      <c r="L10" s="16">
        <f>$L$14*0.0721*H10/($H$31-$H$14-$H$9)</f>
        <v>27.305498889629476</v>
      </c>
      <c r="M10" s="38">
        <f>$M$14*0.0721*H10/($H$31-$H$14-$H$9)</f>
        <v>33.768288515478893</v>
      </c>
    </row>
    <row r="11" spans="2:15" x14ac:dyDescent="0.3">
      <c r="B11" s="30" t="s">
        <v>14</v>
      </c>
      <c r="C11" s="15"/>
      <c r="D11" s="15">
        <v>0.50629999999999997</v>
      </c>
      <c r="E11" s="15">
        <v>0</v>
      </c>
      <c r="F11" s="15"/>
      <c r="G11" s="15">
        <v>2.82</v>
      </c>
      <c r="H11" s="15">
        <v>340.26</v>
      </c>
      <c r="I11" s="16">
        <f>$I$14*0.0721*H11/($H$31-$H$14-$H$9)</f>
        <v>515.76777544443496</v>
      </c>
      <c r="J11" s="16">
        <f>$J$14*0.0721*H11/($H$31-$H$14-$H$9)</f>
        <v>721.03054704971146</v>
      </c>
      <c r="K11" s="16">
        <f>$K$14*0.0721*H11/($H$31-$H$14-$H$9)</f>
        <v>953.54735472673553</v>
      </c>
      <c r="L11" s="16">
        <f>$L$14*0.0721*H11/($H$31-$H$14-$H$9)</f>
        <v>1209.761595336631</v>
      </c>
      <c r="M11" s="38">
        <f>$M$14*0.0721*H11/($H$31-$H$14-$H$9)</f>
        <v>1496.0934700881312</v>
      </c>
    </row>
    <row r="12" spans="2:15" x14ac:dyDescent="0.3">
      <c r="B12" s="30" t="s">
        <v>15</v>
      </c>
      <c r="C12" s="15">
        <v>10.1744</v>
      </c>
      <c r="D12" s="15">
        <v>10.1813</v>
      </c>
      <c r="E12" s="15">
        <v>18.64</v>
      </c>
      <c r="F12" s="15">
        <v>22.39</v>
      </c>
      <c r="G12" s="15">
        <v>18.39</v>
      </c>
      <c r="H12" s="15">
        <v>38.479999999999997</v>
      </c>
      <c r="I12" s="16">
        <f>$I$14*0.0721*H12/($H$31-$H$14-$H$9)</f>
        <v>58.328172571274479</v>
      </c>
      <c r="J12" s="16">
        <f>$J$14*0.0721*H12/($H$31-$H$14-$H$9)</f>
        <v>81.541337361055952</v>
      </c>
      <c r="K12" s="16">
        <f>$K$14*0.0721*H12/($H$31-$H$14-$H$9)</f>
        <v>107.83666081785924</v>
      </c>
      <c r="L12" s="16">
        <f>$L$14*0.0721*H12/($H$31-$H$14-$H$9)</f>
        <v>136.81192672824767</v>
      </c>
      <c r="M12" s="38">
        <f>$M$14*0.0721*H12/($H$31-$H$14-$H$9)</f>
        <v>169.19319558276402</v>
      </c>
    </row>
    <row r="13" spans="2:15" x14ac:dyDescent="0.3">
      <c r="B13" s="30" t="s">
        <v>16</v>
      </c>
      <c r="C13" s="15">
        <v>2.7412999999999998</v>
      </c>
      <c r="D13" s="15">
        <v>3.8498999999999999</v>
      </c>
      <c r="E13" s="15">
        <v>2.0299999999999998</v>
      </c>
      <c r="F13" s="15">
        <v>6.27</v>
      </c>
      <c r="G13" s="15">
        <v>0.32</v>
      </c>
      <c r="H13" s="15">
        <v>0</v>
      </c>
      <c r="I13" s="16"/>
      <c r="J13" s="16"/>
      <c r="K13" s="16"/>
      <c r="L13" s="16"/>
      <c r="M13" s="38"/>
    </row>
    <row r="14" spans="2:15" x14ac:dyDescent="0.3">
      <c r="B14" s="30" t="s">
        <v>17</v>
      </c>
      <c r="C14" s="15">
        <v>11361.2281</v>
      </c>
      <c r="D14" s="15">
        <v>14850.6988</v>
      </c>
      <c r="E14" s="15">
        <v>15218.53</v>
      </c>
      <c r="F14" s="15">
        <v>22046.41</v>
      </c>
      <c r="G14" s="15">
        <v>32694.959999999999</v>
      </c>
      <c r="H14" s="15">
        <v>55951.49</v>
      </c>
      <c r="I14" s="17">
        <f>H14+'Business Drivers'!D19+'Business Drivers'!D20-'Credit Cost Forecast'!D12</f>
        <v>84810.860956499993</v>
      </c>
      <c r="J14" s="17">
        <f>I14+'Business Drivers'!E19+'Business Drivers'!E20-'Credit Cost Forecast'!E12</f>
        <v>118563.4783377625</v>
      </c>
      <c r="K14" s="17">
        <f>J14+'Business Drivers'!F19+'Business Drivers'!F20-'Credit Cost Forecast'!F12</f>
        <v>156797.64414804938</v>
      </c>
      <c r="L14" s="17">
        <f>K14+'Business Drivers'!G19+'Business Drivers'!G20-'Credit Cost Forecast'!G12</f>
        <v>198928.52430378739</v>
      </c>
      <c r="M14" s="39">
        <f>L14+'Business Drivers'!H19+'Business Drivers'!H20-'Credit Cost Forecast'!H12</f>
        <v>246011.83189515059</v>
      </c>
    </row>
    <row r="15" spans="2:15" x14ac:dyDescent="0.3">
      <c r="B15" s="30" t="s">
        <v>18</v>
      </c>
      <c r="C15" s="15">
        <v>177.36590000000001</v>
      </c>
      <c r="D15" s="15">
        <v>1.6000000000000001E-3</v>
      </c>
      <c r="E15" s="15">
        <v>310.91000000000003</v>
      </c>
      <c r="F15" s="15">
        <v>878.33</v>
      </c>
      <c r="G15" s="15">
        <v>1341.63</v>
      </c>
      <c r="H15" s="15">
        <v>2490.46</v>
      </c>
      <c r="I15" s="16">
        <f>$I$14*0.0721*H15/($H$31-$H$14-$H$9)</f>
        <v>3775.0514725014618</v>
      </c>
      <c r="J15" s="16">
        <f>$J$14*0.0721*H15/($H$31-$H$14-$H$9)</f>
        <v>5277.4282495897969</v>
      </c>
      <c r="K15" s="16">
        <f>$K$14*0.0721*H15/($H$31-$H$14-$H$9)</f>
        <v>6979.2850909679246</v>
      </c>
      <c r="L15" s="16">
        <f>$L$14*0.0721*H15/($H$31-$H$14-$H$9)</f>
        <v>8854.5902037326341</v>
      </c>
      <c r="M15" s="38">
        <f>$M$14*0.0721*H15/($H$31-$H$14-$H$9)</f>
        <v>10950.334871908799</v>
      </c>
    </row>
    <row r="16" spans="2:15" x14ac:dyDescent="0.3">
      <c r="B16" s="30" t="s">
        <v>19</v>
      </c>
      <c r="C16" s="15">
        <v>259.26280000000003</v>
      </c>
      <c r="D16" s="15">
        <v>234.52080000000001</v>
      </c>
      <c r="E16" s="15">
        <v>563.15</v>
      </c>
      <c r="F16" s="15">
        <v>257.81</v>
      </c>
      <c r="G16" s="15">
        <v>182.19</v>
      </c>
      <c r="H16" s="15">
        <v>336.44</v>
      </c>
      <c r="I16" s="16">
        <f>$I$14*0.0721*H16/($H$31-$H$14-$H$9)</f>
        <v>509.97740072452149</v>
      </c>
      <c r="J16" s="16">
        <f>$J$14*0.0721*H16/($H$31-$H$14-$H$9)</f>
        <v>712.93574692707023</v>
      </c>
      <c r="K16" s="16">
        <f>$K$14*0.0721*H16/($H$31-$H$14-$H$9)</f>
        <v>942.84215606966109</v>
      </c>
      <c r="L16" s="16">
        <f>$L$14*0.0721*H16/($H$31-$H$14-$H$9)</f>
        <v>1196.1799539618412</v>
      </c>
      <c r="M16" s="38">
        <f>$M$14*0.0721*H16/($H$31-$H$14-$H$9)</f>
        <v>1479.2972640817343</v>
      </c>
    </row>
    <row r="17" spans="2:13" x14ac:dyDescent="0.3">
      <c r="B17" s="31" t="s">
        <v>20</v>
      </c>
      <c r="C17" s="2">
        <f t="shared" ref="C17:H17" si="0">SUM(C9:C16)</f>
        <v>12585.458300000002</v>
      </c>
      <c r="D17" s="2">
        <f t="shared" si="0"/>
        <v>15696.7286</v>
      </c>
      <c r="E17" s="2">
        <f t="shared" si="0"/>
        <v>16770.690000000002</v>
      </c>
      <c r="F17" s="2">
        <f t="shared" si="0"/>
        <v>23479.750000000004</v>
      </c>
      <c r="G17" s="2">
        <f t="shared" si="0"/>
        <v>34272.6</v>
      </c>
      <c r="H17" s="2">
        <f t="shared" si="0"/>
        <v>59450.81</v>
      </c>
      <c r="I17" s="5">
        <f>SUM(I9:I16)</f>
        <v>92225.952988072546</v>
      </c>
      <c r="J17" s="5">
        <f>SUM(J9:J16)</f>
        <v>128929.59293137325</v>
      </c>
      <c r="K17" s="5">
        <f>SUM(K9:K16)</f>
        <v>170506.60722870822</v>
      </c>
      <c r="L17" s="5">
        <f>SUM(L9:L16)</f>
        <v>216321.02921154999</v>
      </c>
      <c r="M17" s="40">
        <f>SUM(M9:M16)</f>
        <v>267520.87394218199</v>
      </c>
    </row>
    <row r="18" spans="2:13" x14ac:dyDescent="0.3">
      <c r="B18" s="29" t="s">
        <v>21</v>
      </c>
      <c r="C18" s="14"/>
      <c r="D18" s="14"/>
      <c r="E18" s="14"/>
      <c r="F18" s="14"/>
      <c r="G18" s="14"/>
      <c r="H18" s="14"/>
      <c r="I18" s="18"/>
      <c r="J18" s="18"/>
      <c r="K18" s="18"/>
      <c r="L18" s="18"/>
      <c r="M18" s="41"/>
    </row>
    <row r="19" spans="2:13" x14ac:dyDescent="0.3">
      <c r="B19" s="30" t="s">
        <v>22</v>
      </c>
      <c r="C19" s="15">
        <v>95.007800000000003</v>
      </c>
      <c r="D19" s="15">
        <v>115.7662</v>
      </c>
      <c r="E19" s="15">
        <v>114.39</v>
      </c>
      <c r="F19" s="15">
        <v>171.7</v>
      </c>
      <c r="G19" s="15">
        <v>141.51</v>
      </c>
      <c r="H19" s="15">
        <v>133.38</v>
      </c>
      <c r="I19" s="16">
        <f>$I$14*0.0721*H19/($H$31-$H$14-$H$9)</f>
        <v>202.17805762880951</v>
      </c>
      <c r="J19" s="16">
        <f>$J$14*0.0721*H19/($H$31-$H$14-$H$9)</f>
        <v>282.63990585284932</v>
      </c>
      <c r="K19" s="16">
        <f>$K$14*0.0721*H19/($H$31-$H$14-$H$9)</f>
        <v>373.78518242947149</v>
      </c>
      <c r="L19" s="16">
        <f>$L$14*0.0721*H19/($H$31-$H$14-$H$9)</f>
        <v>474.2197189972369</v>
      </c>
      <c r="M19" s="38">
        <f>$M$14*0.0721*H19/($H$31-$H$14-$H$9)</f>
        <v>586.4601982024185</v>
      </c>
    </row>
    <row r="20" spans="2:13" x14ac:dyDescent="0.3">
      <c r="B20" s="30" t="s">
        <v>23</v>
      </c>
      <c r="C20" s="15">
        <v>294.16520000000003</v>
      </c>
      <c r="D20" s="15">
        <v>197.02869999999999</v>
      </c>
      <c r="E20" s="15">
        <v>47.68</v>
      </c>
      <c r="F20" s="15">
        <v>163.41999999999999</v>
      </c>
      <c r="G20" s="15">
        <v>205.48</v>
      </c>
      <c r="H20" s="15">
        <v>72.7</v>
      </c>
      <c r="I20" s="16">
        <f>$I$14*0.0721*H20/($H$31-$H$14-$H$9)</f>
        <v>110.19901626641514</v>
      </c>
      <c r="J20" s="16">
        <f>$J$14*0.0721*H20/($H$31-$H$14-$H$9)</f>
        <v>154.05548924503037</v>
      </c>
      <c r="K20" s="16">
        <f>$K$14*0.0721*H20/($H$31-$H$14-$H$9)</f>
        <v>203.73506344746278</v>
      </c>
      <c r="L20" s="16">
        <f>$L$14*0.0721*H20/($H$31-$H$14-$H$9)</f>
        <v>258.47783454115404</v>
      </c>
      <c r="M20" s="38">
        <f>$M$14*0.0721*H20/($H$31-$H$14-$H$9)</f>
        <v>319.65554362959841</v>
      </c>
    </row>
    <row r="21" spans="2:13" x14ac:dyDescent="0.3">
      <c r="B21" s="30" t="s">
        <v>24</v>
      </c>
      <c r="C21" s="15"/>
      <c r="D21" s="15">
        <v>7.6999999999999999E-2</v>
      </c>
      <c r="E21" s="15">
        <v>0.08</v>
      </c>
      <c r="F21" s="15">
        <v>7.0000000000000007E-2</v>
      </c>
      <c r="G21" s="15">
        <v>7.0000000000000007E-2</v>
      </c>
      <c r="H21" s="15">
        <v>7.0000000000000007E-2</v>
      </c>
      <c r="I21" s="16">
        <f>$I$14*0.0721*H21/($H$31-$H$14-$H$9)</f>
        <v>0.10610634303506274</v>
      </c>
      <c r="J21" s="16">
        <f>$J$14*0.0721*H21/($H$31-$H$14-$H$9)</f>
        <v>0.14833403366096456</v>
      </c>
      <c r="K21" s="16">
        <f>$K$14*0.0721*H21/($H$31-$H$14-$H$9)</f>
        <v>0.19616856177884998</v>
      </c>
      <c r="L21" s="16">
        <f>$L$14*0.0721*H21/($H$31-$H$14-$H$9)</f>
        <v>0.24887824508776868</v>
      </c>
      <c r="M21" s="38">
        <f>$M$14*0.0721*H21/($H$31-$H$14-$H$9)</f>
        <v>0.30778387969837534</v>
      </c>
    </row>
    <row r="22" spans="2:13" x14ac:dyDescent="0.3">
      <c r="B22" s="30" t="s">
        <v>25</v>
      </c>
      <c r="C22" s="15">
        <v>125.0536</v>
      </c>
      <c r="D22" s="15">
        <v>122.5681</v>
      </c>
      <c r="E22" s="15">
        <v>117.83</v>
      </c>
      <c r="F22" s="15">
        <v>59.78</v>
      </c>
      <c r="G22" s="15">
        <v>55.01</v>
      </c>
      <c r="H22" s="15">
        <v>97.43</v>
      </c>
      <c r="I22" s="16">
        <f>'CapEx &amp; Depreciation Schedule'!D11*97.43/427.23</f>
        <v>104.33575575451162</v>
      </c>
      <c r="J22" s="16">
        <f>'CapEx &amp; Depreciation Schedule'!E11*97.43/427.23</f>
        <v>117.1544955179763</v>
      </c>
      <c r="K22" s="16">
        <f>'CapEx &amp; Depreciation Schedule'!F11*97.43/427.23</f>
        <v>132.49217539993916</v>
      </c>
      <c r="L22" s="16">
        <f>'CapEx &amp; Depreciation Schedule'!G11*97.43/427.23</f>
        <v>149.32332859792805</v>
      </c>
      <c r="M22" s="38">
        <f>'CapEx &amp; Depreciation Schedule'!H11*97.43/427.23</f>
        <v>167.34926044873779</v>
      </c>
    </row>
    <row r="23" spans="2:13" x14ac:dyDescent="0.3">
      <c r="B23" s="30" t="s">
        <v>26</v>
      </c>
      <c r="C23" s="15">
        <v>0.18149999999999999</v>
      </c>
      <c r="D23" s="15">
        <v>0.45939999999999998</v>
      </c>
      <c r="E23" s="15">
        <v>4.5599999999999996</v>
      </c>
      <c r="F23" s="15">
        <v>0.26</v>
      </c>
      <c r="G23" s="15">
        <v>10.43</v>
      </c>
      <c r="H23" s="15">
        <v>7.01</v>
      </c>
      <c r="I23" s="16">
        <f>'CapEx &amp; Depreciation Schedule'!D11*7.01/427.23</f>
        <v>7.5068628537321818</v>
      </c>
      <c r="J23" s="16">
        <f>'CapEx &amp; Depreciation Schedule'!E11*7.01/427.23</f>
        <v>8.429159535882313</v>
      </c>
      <c r="K23" s="16">
        <f>'CapEx &amp; Depreciation Schedule'!F11*7.01/427.23</f>
        <v>9.5326916714931063</v>
      </c>
      <c r="L23" s="16">
        <f>'CapEx &amp; Depreciation Schedule'!G11*7.01/427.23</f>
        <v>10.743677855603773</v>
      </c>
      <c r="M23" s="38">
        <f>'CapEx &amp; Depreciation Schedule'!H11*7.01/427.23</f>
        <v>12.040627278514334</v>
      </c>
    </row>
    <row r="24" spans="2:13" x14ac:dyDescent="0.3">
      <c r="B24" s="30" t="s">
        <v>27</v>
      </c>
      <c r="C24" s="15">
        <v>14.3034</v>
      </c>
      <c r="D24" s="15">
        <v>14.3034</v>
      </c>
      <c r="E24" s="15">
        <v>14.3</v>
      </c>
      <c r="F24" s="15">
        <v>0</v>
      </c>
      <c r="G24" s="15"/>
      <c r="H24" s="15"/>
      <c r="I24" s="16"/>
      <c r="J24" s="16"/>
      <c r="K24" s="16"/>
      <c r="L24" s="16"/>
      <c r="M24" s="38"/>
    </row>
    <row r="25" spans="2:13" x14ac:dyDescent="0.3">
      <c r="B25" s="30" t="s">
        <v>28</v>
      </c>
      <c r="C25" s="15">
        <v>19.544499999999999</v>
      </c>
      <c r="D25" s="15">
        <v>19.300599999999999</v>
      </c>
      <c r="E25" s="15">
        <v>14.25</v>
      </c>
      <c r="F25" s="15">
        <v>17</v>
      </c>
      <c r="G25" s="15">
        <v>16.41</v>
      </c>
      <c r="H25" s="15">
        <v>26.07</v>
      </c>
      <c r="I25" s="16">
        <f>'CapEx &amp; Depreciation Schedule'!D11*26.07/427.23</f>
        <v>27.917819485991153</v>
      </c>
      <c r="J25" s="16">
        <f>'CapEx &amp; Depreciation Schedule'!E11*26.07/427.23</f>
        <v>31.347815848851909</v>
      </c>
      <c r="K25" s="16">
        <f>'CapEx &amp; Depreciation Schedule'!F11*26.07/427.23</f>
        <v>35.451821950902328</v>
      </c>
      <c r="L25" s="16">
        <f>'CapEx &amp; Depreciation Schedule'!G11*26.07/427.23</f>
        <v>39.955446746874522</v>
      </c>
      <c r="M25" s="38">
        <f>'CapEx &amp; Depreciation Schedule'!H11*26.07/427.23</f>
        <v>44.77876649798413</v>
      </c>
    </row>
    <row r="26" spans="2:13" x14ac:dyDescent="0.3">
      <c r="B26" s="30" t="s">
        <v>29</v>
      </c>
      <c r="C26" s="15">
        <v>36.902299999999997</v>
      </c>
      <c r="D26" s="15">
        <v>58.0379</v>
      </c>
      <c r="E26" s="15">
        <v>75.05</v>
      </c>
      <c r="F26" s="15">
        <v>117.35</v>
      </c>
      <c r="G26" s="15">
        <v>172.31</v>
      </c>
      <c r="H26" s="15">
        <v>296.72000000000003</v>
      </c>
      <c r="I26" s="16">
        <f>'CapEx &amp; Depreciation Schedule'!D11*296.72/427.23</f>
        <v>317.75126190576509</v>
      </c>
      <c r="J26" s="16">
        <f>'CapEx &amp; Depreciation Schedule'!E11*296.72/427.23</f>
        <v>356.7903305972896</v>
      </c>
      <c r="K26" s="16">
        <f>'CapEx &amp; Depreciation Schedule'!F11*296.72/427.23</f>
        <v>403.50075217766545</v>
      </c>
      <c r="L26" s="16">
        <f>'CapEx &amp; Depreciation Schedule'!G11*296.72/427.23</f>
        <v>454.75949975959367</v>
      </c>
      <c r="M26" s="38">
        <f>'CapEx &amp; Depreciation Schedule'!H11*296.72/427.23</f>
        <v>509.65690814276371</v>
      </c>
    </row>
    <row r="27" spans="2:13" x14ac:dyDescent="0.3">
      <c r="B27" s="30" t="s">
        <v>30</v>
      </c>
      <c r="C27" s="15">
        <v>41.565800000000003</v>
      </c>
      <c r="D27" s="15">
        <v>35.811900000000001</v>
      </c>
      <c r="E27" s="15">
        <v>40.31</v>
      </c>
      <c r="F27" s="15">
        <v>26.87</v>
      </c>
      <c r="G27" s="15">
        <v>105.42</v>
      </c>
      <c r="H27" s="15">
        <v>136.66999999999999</v>
      </c>
      <c r="I27" s="16">
        <f>$I$14*0.0721*H27/($H$31-$H$14-$H$9)</f>
        <v>207.16505575145746</v>
      </c>
      <c r="J27" s="16">
        <f>$J$14*0.0721*H27/($H$31-$H$14-$H$9)</f>
        <v>289.61160543491462</v>
      </c>
      <c r="K27" s="16">
        <f>$K$14*0.0721*H27/($H$31-$H$14-$H$9)</f>
        <v>383.0051048330775</v>
      </c>
      <c r="L27" s="16">
        <f>$L$14*0.0721*H27/($H$31-$H$14-$H$9)</f>
        <v>485.91699651636202</v>
      </c>
      <c r="M27" s="38">
        <f>$M$14*0.0721*H27/($H$31-$H$14-$H$9)</f>
        <v>600.92604054824221</v>
      </c>
    </row>
    <row r="28" spans="2:13" x14ac:dyDescent="0.3">
      <c r="B28" s="31" t="s">
        <v>31</v>
      </c>
      <c r="C28" s="2">
        <f t="shared" ref="C28:H28" si="1">SUM(C19:C27)</f>
        <v>626.72409999999991</v>
      </c>
      <c r="D28" s="2">
        <f t="shared" si="1"/>
        <v>563.35320000000002</v>
      </c>
      <c r="E28" s="2">
        <f t="shared" si="1"/>
        <v>428.45000000000005</v>
      </c>
      <c r="F28" s="2">
        <f t="shared" si="1"/>
        <v>556.45000000000005</v>
      </c>
      <c r="G28" s="2">
        <f t="shared" si="1"/>
        <v>706.64</v>
      </c>
      <c r="H28" s="2">
        <f t="shared" si="1"/>
        <v>770.05</v>
      </c>
      <c r="I28" s="5">
        <f>SUM(I19:I27)</f>
        <v>977.15993598971727</v>
      </c>
      <c r="J28" s="5">
        <f>SUM(J19:J27)</f>
        <v>1240.1771360664552</v>
      </c>
      <c r="K28" s="5">
        <f>SUM(K19:K27)</f>
        <v>1541.6989604717905</v>
      </c>
      <c r="L28" s="5">
        <f>SUM(L19:L27)</f>
        <v>1873.6453812598406</v>
      </c>
      <c r="M28" s="40">
        <f>SUM(M19:M27)</f>
        <v>2241.1751286279577</v>
      </c>
    </row>
    <row r="29" spans="2:13" x14ac:dyDescent="0.3">
      <c r="B29" s="30" t="s">
        <v>32</v>
      </c>
      <c r="C29" s="15"/>
      <c r="D29" s="15">
        <v>182.61879999999999</v>
      </c>
      <c r="E29" s="15">
        <v>50.7</v>
      </c>
      <c r="F29" s="15">
        <v>50.7</v>
      </c>
      <c r="G29" s="15">
        <v>50.7</v>
      </c>
      <c r="H29" s="15">
        <v>50.7</v>
      </c>
      <c r="I29" s="16">
        <f>$I$14*0.0721*H29/($H$31-$H$14-$H$9)</f>
        <v>76.85130845539544</v>
      </c>
      <c r="J29" s="16">
        <f>$J$14*0.0721*H29/($H$31-$H$14-$H$9)</f>
        <v>107.43622152301292</v>
      </c>
      <c r="K29" s="16">
        <f>$K$14*0.0721*H29/($H$31-$H$14-$H$9)</f>
        <v>142.08208688839562</v>
      </c>
      <c r="L29" s="16">
        <f>$L$14*0.0721*H29/($H$31-$H$14-$H$9)</f>
        <v>180.25895751356961</v>
      </c>
      <c r="M29" s="38">
        <f>$M$14*0.0721*H29/($H$31-$H$14-$H$9)</f>
        <v>222.92346715296614</v>
      </c>
    </row>
    <row r="30" spans="2:13" x14ac:dyDescent="0.3">
      <c r="B30" s="30" t="s">
        <v>33</v>
      </c>
      <c r="C30" s="15"/>
      <c r="D30" s="15"/>
      <c r="E30" s="15">
        <v>5970.77</v>
      </c>
      <c r="F30" s="15">
        <v>0</v>
      </c>
      <c r="G30" s="15"/>
      <c r="H30" s="15"/>
      <c r="I30" s="16"/>
      <c r="J30" s="16"/>
      <c r="K30" s="16"/>
      <c r="L30" s="16"/>
      <c r="M30" s="38"/>
    </row>
    <row r="31" spans="2:13" x14ac:dyDescent="0.3">
      <c r="B31" s="31" t="s">
        <v>34</v>
      </c>
      <c r="C31" s="2">
        <f t="shared" ref="C31:H31" si="2">C17+C28+C29+C30</f>
        <v>13212.182400000002</v>
      </c>
      <c r="D31" s="2">
        <f t="shared" si="2"/>
        <v>16442.7006</v>
      </c>
      <c r="E31" s="2">
        <f t="shared" si="2"/>
        <v>23220.610000000004</v>
      </c>
      <c r="F31" s="2">
        <f t="shared" si="2"/>
        <v>24086.900000000005</v>
      </c>
      <c r="G31" s="2">
        <f t="shared" si="2"/>
        <v>35029.939999999995</v>
      </c>
      <c r="H31" s="2">
        <f t="shared" si="2"/>
        <v>60271.56</v>
      </c>
      <c r="I31" s="5">
        <f>I17+I28+I29+I30</f>
        <v>93279.964232517668</v>
      </c>
      <c r="J31" s="5">
        <f>J17+J28+J29+J30</f>
        <v>130277.20628896271</v>
      </c>
      <c r="K31" s="5">
        <f>K17+K28+K29+K30</f>
        <v>172190.38827606841</v>
      </c>
      <c r="L31" s="5">
        <f>L17+L28+L29+L30</f>
        <v>218374.93355032342</v>
      </c>
      <c r="M31" s="40">
        <f>M17+M28+M29+M30</f>
        <v>269984.97253796295</v>
      </c>
    </row>
    <row r="32" spans="2:13" x14ac:dyDescent="0.3">
      <c r="B32" s="28" t="s">
        <v>35</v>
      </c>
      <c r="C32" s="13"/>
      <c r="D32" s="13"/>
      <c r="E32" s="13"/>
      <c r="F32" s="13"/>
      <c r="G32" s="13"/>
      <c r="H32" s="13"/>
      <c r="I32" s="19"/>
      <c r="J32" s="19"/>
      <c r="K32" s="19"/>
      <c r="L32" s="19"/>
      <c r="M32" s="42"/>
    </row>
    <row r="33" spans="2:13" x14ac:dyDescent="0.3">
      <c r="B33" s="29" t="s">
        <v>36</v>
      </c>
      <c r="C33" s="14"/>
      <c r="D33" s="14"/>
      <c r="E33" s="14"/>
      <c r="F33" s="14"/>
      <c r="G33" s="14"/>
      <c r="H33" s="14"/>
      <c r="I33" s="18"/>
      <c r="J33" s="18"/>
      <c r="K33" s="18"/>
      <c r="L33" s="18"/>
      <c r="M33" s="41"/>
    </row>
    <row r="34" spans="2:13" x14ac:dyDescent="0.3">
      <c r="B34" s="30" t="s">
        <v>37</v>
      </c>
      <c r="C34" s="15"/>
      <c r="D34" s="15">
        <v>0.26869999999999999</v>
      </c>
      <c r="E34" s="15">
        <v>0</v>
      </c>
      <c r="F34" s="15"/>
      <c r="G34" s="15">
        <v>1.66</v>
      </c>
      <c r="H34" s="15">
        <v>0</v>
      </c>
      <c r="I34" s="16">
        <f>$I$14*0.0326*H34/($H$34+$H$35+$H$36+$H$37+$H$38+$H$42+$H$43+$H$46+$H$47+$H$48)</f>
        <v>0</v>
      </c>
      <c r="J34" s="16">
        <f>$J$14*0.0326*H34/($H$34+$H$35+$H$36+$H$37+$H$38+$H$42+$H$43+$H$46+$H$47+$H$48)</f>
        <v>0</v>
      </c>
      <c r="K34" s="16">
        <f>$K$14*0.0326*H34/($H$34+$H$35+$H$36+$H$37+$H$38+$H$42+$H$43+$H$46+$H$47+$H$48)</f>
        <v>0</v>
      </c>
      <c r="L34" s="16">
        <f>$L$14*0.0326*H34/($H$34+$H$35+$H$36+$H$37+$H$38+$H$42+$H$43+$H$46+$H$47+$H$48)</f>
        <v>0</v>
      </c>
      <c r="M34" s="38">
        <f>$M$14*0.0326*H34/($H$34+$H$35+$H$36+$H$37+$H$38+$H$42+$H$43+$H$46+$H$47+$H$48)</f>
        <v>0</v>
      </c>
    </row>
    <row r="35" spans="2:13" x14ac:dyDescent="0.3">
      <c r="B35" s="30" t="s">
        <v>38</v>
      </c>
      <c r="C35" s="15"/>
      <c r="D35" s="15"/>
      <c r="E35" s="15">
        <v>0.05</v>
      </c>
      <c r="F35" s="15">
        <v>0.02</v>
      </c>
      <c r="G35" s="15">
        <v>1.69</v>
      </c>
      <c r="H35" s="15">
        <v>0.57999999999999996</v>
      </c>
      <c r="I35" s="16">
        <f>$I$14*0.0326*H35/($H$34+$H$35+$H$36+$H$37+$H$38+$H$42+$H$43+$H$46+$H$47+$H$48)</f>
        <v>0.87867736187302159</v>
      </c>
      <c r="J35" s="16">
        <f>$J$14*0.0326*H35/($H$34+$H$35+$H$36+$H$37+$H$38+$H$42+$H$43+$H$46+$H$47+$H$48)</f>
        <v>1.2283691402890999</v>
      </c>
      <c r="K35" s="16">
        <f>$K$14*0.0326*H35/($H$34+$H$35+$H$36+$H$37+$H$38+$H$42+$H$43+$H$46+$H$47+$H$48)</f>
        <v>1.6244917072422866</v>
      </c>
      <c r="L35" s="16">
        <f>$L$14*0.0326*H35/($H$34+$H$35+$H$36+$H$37+$H$38+$H$42+$H$43+$H$46+$H$47+$H$48)</f>
        <v>2.060985927571211</v>
      </c>
      <c r="M35" s="38">
        <f>$M$14*0.0326*H35/($H$34+$H$35+$H$36+$H$37+$H$38+$H$42+$H$43+$H$46+$H$47+$H$48)</f>
        <v>2.5487894474983879</v>
      </c>
    </row>
    <row r="36" spans="2:13" x14ac:dyDescent="0.3">
      <c r="B36" s="30" t="s">
        <v>39</v>
      </c>
      <c r="C36" s="15">
        <v>94.09</v>
      </c>
      <c r="D36" s="15">
        <v>15.1248</v>
      </c>
      <c r="E36" s="15">
        <v>1.97</v>
      </c>
      <c r="F36" s="15">
        <v>1.22</v>
      </c>
      <c r="G36" s="15">
        <v>2.2400000000000002</v>
      </c>
      <c r="H36" s="15">
        <v>4.3</v>
      </c>
      <c r="I36" s="16">
        <f>$I$14*0.0326*H36/($H$34+$H$35+$H$36+$H$37+$H$38+$H$42+$H$43+$H$46+$H$47+$H$48)</f>
        <v>6.514332165610333</v>
      </c>
      <c r="J36" s="16">
        <f>$J$14*0.0326*H36/($H$34+$H$35+$H$36+$H$37+$H$38+$H$42+$H$43+$H$46+$H$47+$H$48)</f>
        <v>9.1068746607640172</v>
      </c>
      <c r="K36" s="16">
        <f>$K$14*0.0326*H36/($H$34+$H$35+$H$36+$H$37+$H$38+$H$42+$H$43+$H$46+$H$47+$H$48)</f>
        <v>12.04364541576178</v>
      </c>
      <c r="L36" s="16">
        <f>$L$14*0.0326*H36/($H$34+$H$35+$H$36+$H$37+$H$38+$H$42+$H$43+$H$46+$H$47+$H$48)</f>
        <v>15.279723256131392</v>
      </c>
      <c r="M36" s="38">
        <f>$M$14*0.0326*H36/($H$34+$H$35+$H$36+$H$37+$H$38+$H$42+$H$43+$H$46+$H$47+$H$48)</f>
        <v>18.896197628005286</v>
      </c>
    </row>
    <row r="37" spans="2:13" x14ac:dyDescent="0.3">
      <c r="B37" s="30" t="s">
        <v>40</v>
      </c>
      <c r="C37" s="15"/>
      <c r="D37" s="15"/>
      <c r="E37" s="15"/>
      <c r="F37" s="15"/>
      <c r="G37" s="15"/>
      <c r="H37" s="15"/>
      <c r="I37" s="16"/>
      <c r="J37" s="16"/>
      <c r="K37" s="16"/>
      <c r="L37" s="16"/>
      <c r="M37" s="38"/>
    </row>
    <row r="38" spans="2:13" x14ac:dyDescent="0.3">
      <c r="B38" s="30" t="s">
        <v>41</v>
      </c>
      <c r="C38" s="15"/>
      <c r="D38" s="15"/>
      <c r="E38" s="15"/>
      <c r="F38" s="15">
        <v>2.13</v>
      </c>
      <c r="G38" s="15">
        <v>0.32</v>
      </c>
      <c r="H38" s="15">
        <v>0</v>
      </c>
      <c r="I38" s="16"/>
      <c r="J38" s="16"/>
      <c r="K38" s="16"/>
      <c r="L38" s="16"/>
      <c r="M38" s="38"/>
    </row>
    <row r="39" spans="2:13" x14ac:dyDescent="0.3">
      <c r="B39" s="30" t="s">
        <v>42</v>
      </c>
      <c r="C39" s="15">
        <v>1265.0223000000001</v>
      </c>
      <c r="D39" s="15">
        <v>939.95889999999997</v>
      </c>
      <c r="E39" s="15">
        <v>950.24</v>
      </c>
      <c r="F39" s="15">
        <v>1227.0899999999999</v>
      </c>
      <c r="G39" s="15">
        <v>1663.99</v>
      </c>
      <c r="H39" s="15">
        <v>14790.18</v>
      </c>
      <c r="I39" s="17">
        <f>($I$31-$I$55-($I$34+$I$35+$I$36+$I$37+$I$38+$I$42+$I$43)-($I$46+$I$47+$I$48))*H39/($H$39+$H$40+$H$41)</f>
        <v>22571.27875749805</v>
      </c>
      <c r="J39" s="17">
        <f>($J$31-$J$55-($J$34+$J$35+$J$36+$J$37+$J$38+$J$42+$J$43)-($J$46+$J$47+$J$48))*H39/($H$39+$H$40+$H$41)</f>
        <v>31333.739607061365</v>
      </c>
      <c r="K39" s="17">
        <f>($K$31-$K$55-($K$34+$K$35+$K$36+$K$37+$K$38+$K$42+$K$43)-($K$46+$K$47+$K$48))*H39/($H$39+$H$40+$H$41)</f>
        <v>41296.290290763653</v>
      </c>
      <c r="L39" s="17">
        <f>($L$31-$L$55-($L$34+$L$35+$L$36+$L$37+$L$38+$L$42+$L$43)-($L$46+$L$47+$L$48))*H39/($H$39+$H$40+$H$41)</f>
        <v>52286.953191003893</v>
      </c>
      <c r="M39" s="39">
        <f>($M$31-$M$55-($M$34+$M$35+$M$36+$M$37+$M$38+$M$42+$M$43)-($M$46+$M$47+$M$48))*H39/($H$39+$H$40+$H$41)</f>
        <v>64595.215375830252</v>
      </c>
    </row>
    <row r="40" spans="2:13" x14ac:dyDescent="0.3">
      <c r="B40" s="30" t="s">
        <v>43</v>
      </c>
      <c r="C40" s="15">
        <v>8334.5872999999992</v>
      </c>
      <c r="D40" s="15">
        <v>8380.4802999999993</v>
      </c>
      <c r="E40" s="15">
        <v>9804.07</v>
      </c>
      <c r="F40" s="15">
        <v>13616.13</v>
      </c>
      <c r="G40" s="15">
        <v>23978.97</v>
      </c>
      <c r="H40" s="15">
        <v>32933.129999999997</v>
      </c>
      <c r="I40" s="17">
        <f>($I$31-$I$55-($I$34+$I$35+$I$36+$I$37+$I$38+$I$42+$I$43)-($I$46+$I$47+$I$48))*H40/($H$39+$H$40+$H$41)</f>
        <v>50259.21642514976</v>
      </c>
      <c r="J40" s="17">
        <f>($J$31-$J$55-($J$34+$J$35+$J$36+$J$37+$J$38+$J$42+$J$43)-($J$46+$J$47+$J$48))*H40/($H$39+$H$40+$H$41)</f>
        <v>69770.490951800515</v>
      </c>
      <c r="K40" s="17">
        <f>($K$31-$K$55-($K$34+$K$35+$K$36+$K$37+$K$38+$K$42+$K$43)-($K$46+$K$47+$K$48))*H40/($H$39+$H$40+$H$41)</f>
        <v>91953.992220747605</v>
      </c>
      <c r="L40" s="17">
        <f>($L$31-$L$55-($L$34+$L$35+$L$36+$L$37+$L$38+$L$42+$L$43)-($L$46+$L$47+$L$48))*H40/($H$39+$H$40+$H$41)</f>
        <v>116426.77957558638</v>
      </c>
      <c r="M40" s="39">
        <f>($M$31-$M$55-($M$34+$M$35+$M$36+$M$37+$M$38+$M$42+$M$43)-($M$46+$M$47+$M$48))*H40/($H$39+$H$40+$H$41)</f>
        <v>143833.45066457722</v>
      </c>
    </row>
    <row r="41" spans="2:13" x14ac:dyDescent="0.3">
      <c r="B41" s="30" t="s">
        <v>44</v>
      </c>
      <c r="C41" s="15">
        <v>833.43970000000002</v>
      </c>
      <c r="D41" s="15">
        <v>588.39009999999996</v>
      </c>
      <c r="E41" s="15">
        <v>365.27</v>
      </c>
      <c r="F41" s="15">
        <v>236.91</v>
      </c>
      <c r="G41" s="15">
        <v>237.59</v>
      </c>
      <c r="H41" s="15">
        <v>374.99</v>
      </c>
      <c r="I41" s="17">
        <f>($I$31-$I$55-($I$34+$I$35+$I$36+$I$37+$I$38+$I$42+$I$43)-($I$46+$I$47+$I$48))*H41/($H$39+$H$40+$H$41)</f>
        <v>572.27186019873943</v>
      </c>
      <c r="J41" s="17">
        <f>($J$31-$J$55-($J$34+$J$35+$J$36+$J$37+$J$38+$J$42+$J$43)-($J$46+$J$47+$J$48))*H41/($H$39+$H$40+$H$41)</f>
        <v>794.43516003537093</v>
      </c>
      <c r="K41" s="17">
        <f>($K$31-$K$55-($K$34+$K$35+$K$36+$K$37+$K$38+$K$42+$K$43)-($K$46+$K$47+$K$48))*H41/($H$39+$H$40+$H$41)</f>
        <v>1047.0255193738994</v>
      </c>
      <c r="L41" s="17">
        <f>($L$31-$L$55-($L$34+$L$35+$L$36+$L$37+$L$38+$L$42+$L$43)-($L$46+$L$47+$L$48))*H41/($H$39+$H$40+$H$41)</f>
        <v>1325.6826202990464</v>
      </c>
      <c r="M41" s="39">
        <f>($M$31-$M$55-($M$34+$M$35+$M$36+$M$37+$M$38+$M$42+$M$43)-($M$46+$M$47+$M$48))*H41/($H$39+$H$40+$H$41)</f>
        <v>1637.7461135552498</v>
      </c>
    </row>
    <row r="42" spans="2:13" x14ac:dyDescent="0.3">
      <c r="B42" s="30" t="s">
        <v>45</v>
      </c>
      <c r="C42" s="15">
        <v>41.835099999999997</v>
      </c>
      <c r="D42" s="15">
        <v>64.594499999999996</v>
      </c>
      <c r="E42" s="15">
        <v>89.58</v>
      </c>
      <c r="F42" s="15">
        <v>135.59</v>
      </c>
      <c r="G42" s="15">
        <v>200.69</v>
      </c>
      <c r="H42" s="15">
        <v>337.5</v>
      </c>
      <c r="I42" s="16">
        <f>$I$14*0.0326*H42/($H$34+$H$35+$H$36+$H$37+$H$38+$H$42+$H$43+$H$46+$H$47+$H$48)</f>
        <v>511.2993269519738</v>
      </c>
      <c r="J42" s="16">
        <f>$J$14*0.0326*H42/($H$34+$H$35+$H$36+$H$37+$H$38+$H$42+$H$43+$H$46+$H$47+$H$48)</f>
        <v>714.78376697857107</v>
      </c>
      <c r="K42" s="16">
        <f>$K$14*0.0326*H42/($H$34+$H$35+$H$36+$H$37+$H$38+$H$42+$H$43+$H$46+$H$47+$H$48)</f>
        <v>945.28612274874445</v>
      </c>
      <c r="L42" s="16">
        <f>$L$14*0.0326*H42/($H$34+$H$35+$H$36+$H$37+$H$38+$H$42+$H$43+$H$46+$H$47+$H$48)</f>
        <v>1199.2806044056617</v>
      </c>
      <c r="M42" s="38">
        <f>$M$14*0.0326*H42/($H$34+$H$35+$H$36+$H$37+$H$38+$H$42+$H$43+$H$46+$H$47+$H$48)</f>
        <v>1483.1317905701826</v>
      </c>
    </row>
    <row r="43" spans="2:13" x14ac:dyDescent="0.3">
      <c r="B43" s="30" t="s">
        <v>46</v>
      </c>
      <c r="C43" s="15">
        <v>317.32130000000001</v>
      </c>
      <c r="D43" s="15">
        <v>300.4024</v>
      </c>
      <c r="E43" s="15">
        <v>275.99</v>
      </c>
      <c r="F43" s="15">
        <v>597.26</v>
      </c>
      <c r="G43" s="15">
        <v>699.86</v>
      </c>
      <c r="H43" s="15">
        <v>1416.07</v>
      </c>
      <c r="I43" s="16">
        <f>$I$14*0.0326*H43/($H$34+$H$35+$H$36+$H$37+$H$38+$H$42+$H$43+$H$46+$H$47+$H$48)</f>
        <v>2145.2907790129825</v>
      </c>
      <c r="J43" s="16">
        <f>$J$14*0.0326*H43/($H$34+$H$35+$H$36+$H$37+$H$38+$H$42+$H$43+$H$46+$H$47+$H$48)</f>
        <v>2999.0632560158379</v>
      </c>
      <c r="K43" s="16">
        <f>$K$14*0.0326*H43/($H$34+$H$35+$H$36+$H$37+$H$38+$H$42+$H$43+$H$46+$H$47+$H$48)</f>
        <v>3966.1965032320427</v>
      </c>
      <c r="L43" s="16">
        <f>$L$14*0.0326*H43/($H$34+$H$35+$H$36+$H$37+$H$38+$H$42+$H$43+$H$46+$H$47+$H$48)</f>
        <v>5031.8971421651122</v>
      </c>
      <c r="M43" s="38">
        <f>$M$14*0.0326*H43/($H$34+$H$35+$H$36+$H$37+$H$38+$H$42+$H$43+$H$46+$H$47+$H$48)</f>
        <v>6222.8694360673126</v>
      </c>
    </row>
    <row r="44" spans="2:13" x14ac:dyDescent="0.3">
      <c r="B44" s="31" t="s">
        <v>47</v>
      </c>
      <c r="C44" s="2">
        <f t="shared" ref="C44:H44" si="3">SUM(C34:C43)</f>
        <v>10886.295700000001</v>
      </c>
      <c r="D44" s="2">
        <f t="shared" si="3"/>
        <v>10289.2197</v>
      </c>
      <c r="E44" s="2">
        <f t="shared" si="3"/>
        <v>11487.17</v>
      </c>
      <c r="F44" s="2">
        <f t="shared" si="3"/>
        <v>15816.349999999999</v>
      </c>
      <c r="G44" s="2">
        <f t="shared" si="3"/>
        <v>26787.010000000002</v>
      </c>
      <c r="H44" s="2">
        <f t="shared" si="3"/>
        <v>49856.749999999993</v>
      </c>
      <c r="I44" s="5">
        <f>SUM(I34:I43)</f>
        <v>76066.750158338997</v>
      </c>
      <c r="J44" s="5">
        <f>SUM(J34:J43)</f>
        <v>105622.8479856927</v>
      </c>
      <c r="K44" s="5">
        <f>SUM(K34:K43)</f>
        <v>139222.45879398895</v>
      </c>
      <c r="L44" s="5">
        <f>SUM(L34:L43)</f>
        <v>176287.93384264378</v>
      </c>
      <c r="M44" s="40">
        <f>SUM(M34:M43)</f>
        <v>217793.85836767574</v>
      </c>
    </row>
    <row r="45" spans="2:13" x14ac:dyDescent="0.3">
      <c r="B45" s="29" t="s">
        <v>48</v>
      </c>
      <c r="C45" s="14"/>
      <c r="D45" s="14"/>
      <c r="E45" s="14"/>
      <c r="F45" s="14"/>
      <c r="G45" s="14"/>
      <c r="H45" s="14"/>
      <c r="I45" s="18"/>
      <c r="J45" s="18"/>
      <c r="K45" s="18"/>
      <c r="L45" s="18"/>
      <c r="M45" s="41"/>
    </row>
    <row r="46" spans="2:13" x14ac:dyDescent="0.3">
      <c r="B46" s="30" t="s">
        <v>49</v>
      </c>
      <c r="C46" s="15">
        <v>9.4356000000000009</v>
      </c>
      <c r="D46" s="15">
        <v>0.36020000000000002</v>
      </c>
      <c r="E46" s="15">
        <v>0.34</v>
      </c>
      <c r="F46" s="15">
        <v>0.01</v>
      </c>
      <c r="G46" s="15">
        <v>0.24</v>
      </c>
      <c r="H46" s="15">
        <v>0.16</v>
      </c>
      <c r="I46" s="16">
        <f>$I$14*0.0326*H46/($H$34+$H$35+$H$36+$H$37+$H$38+$H$42+$H$43+$H$46+$H$47+$H$48)</f>
        <v>0.24239375499945426</v>
      </c>
      <c r="J46" s="16">
        <f>$J$14*0.0326*H46/($H$34+$H$35+$H$36+$H$37+$H$38+$H$42+$H$43+$H$46+$H$47+$H$48)</f>
        <v>0.33886045249354485</v>
      </c>
      <c r="K46" s="16">
        <f>$K$14*0.0326*H46/($H$34+$H$35+$H$36+$H$37+$H$38+$H$42+$H$43+$H$46+$H$47+$H$48)</f>
        <v>0.44813564337718254</v>
      </c>
      <c r="L46" s="16">
        <f>$L$14*0.0326*H46/($H$34+$H$35+$H$36+$H$37+$H$38+$H$42+$H$43+$H$46+$H$47+$H$48)</f>
        <v>0.56854784208861009</v>
      </c>
      <c r="M46" s="38">
        <f>$M$14*0.0326*H46/($H$34+$H$35+$H$36+$H$37+$H$38+$H$42+$H$43+$H$46+$H$47+$H$48)</f>
        <v>0.70311433034438287</v>
      </c>
    </row>
    <row r="47" spans="2:13" x14ac:dyDescent="0.3">
      <c r="B47" s="30" t="s">
        <v>50</v>
      </c>
      <c r="C47" s="15">
        <v>13.478400000000001</v>
      </c>
      <c r="D47" s="15">
        <v>12.134</v>
      </c>
      <c r="E47" s="15">
        <v>8.26</v>
      </c>
      <c r="F47" s="15">
        <v>8.5299999999999994</v>
      </c>
      <c r="G47" s="15">
        <v>12.67</v>
      </c>
      <c r="H47" s="15">
        <v>20.07</v>
      </c>
      <c r="I47" s="16">
        <f>$I$14*0.0326*H47/($H$34+$H$35+$H$36+$H$37+$H$38+$H$42+$H$43+$H$46+$H$47+$H$48)</f>
        <v>30.405266642744046</v>
      </c>
      <c r="J47" s="16">
        <f>$J$14*0.0326*H47/($H$34+$H$35+$H$36+$H$37+$H$38+$H$42+$H$43+$H$46+$H$47+$H$48)</f>
        <v>42.505808009659034</v>
      </c>
      <c r="K47" s="16">
        <f>$K$14*0.0326*H47/($H$34+$H$35+$H$36+$H$37+$H$38+$H$42+$H$43+$H$46+$H$47+$H$48)</f>
        <v>56.213014766125333</v>
      </c>
      <c r="L47" s="16">
        <f>$L$14*0.0326*H47/($H$34+$H$35+$H$36+$H$37+$H$38+$H$42+$H$43+$H$46+$H$47+$H$48)</f>
        <v>71.317219941990018</v>
      </c>
      <c r="M47" s="38">
        <f>$M$14*0.0326*H47/($H$34+$H$35+$H$36+$H$37+$H$38+$H$42+$H$43+$H$46+$H$47+$H$48)</f>
        <v>88.196903812573524</v>
      </c>
    </row>
    <row r="48" spans="2:13" x14ac:dyDescent="0.3">
      <c r="B48" s="30" t="s">
        <v>51</v>
      </c>
      <c r="C48" s="15">
        <v>108.6683</v>
      </c>
      <c r="D48" s="15">
        <v>82.766300000000001</v>
      </c>
      <c r="E48" s="15">
        <v>89.48</v>
      </c>
      <c r="F48" s="15">
        <v>94.93</v>
      </c>
      <c r="G48" s="15">
        <v>55.36</v>
      </c>
      <c r="H48" s="15">
        <v>46.34</v>
      </c>
      <c r="I48" s="16">
        <f>$I$14*0.0326*H48/($H$34+$H$35+$H$36+$H$37+$H$38+$H$42+$H$43+$H$46+$H$47+$H$48)</f>
        <v>70.203291291716937</v>
      </c>
      <c r="J48" s="16">
        <f>$J$14*0.0326*H48/($H$34+$H$35+$H$36+$H$37+$H$38+$H$42+$H$43+$H$46+$H$47+$H$48)</f>
        <v>98.142458553442935</v>
      </c>
      <c r="K48" s="16">
        <f>$K$14*0.0326*H48/($H$34+$H$35+$H$36+$H$37+$H$38+$H$42+$H$43+$H$46+$H$47+$H$48)</f>
        <v>129.79128571311651</v>
      </c>
      <c r="L48" s="16">
        <f>$L$14*0.0326*H48/($H$34+$H$35+$H$36+$H$37+$H$38+$H$42+$H$43+$H$46+$H$47+$H$48)</f>
        <v>164.6656687649137</v>
      </c>
      <c r="M48" s="38">
        <f>$M$14*0.0326*H48/($H$34+$H$35+$H$36+$H$37+$H$38+$H$42+$H$43+$H$46+$H$47+$H$48)</f>
        <v>203.63948792599189</v>
      </c>
    </row>
    <row r="49" spans="2:13" x14ac:dyDescent="0.3">
      <c r="B49" s="31" t="s">
        <v>52</v>
      </c>
      <c r="C49" s="2">
        <f t="shared" ref="C49:H49" si="4">SUM(C46:C48)</f>
        <v>131.5823</v>
      </c>
      <c r="D49" s="2">
        <f t="shared" si="4"/>
        <v>95.260500000000008</v>
      </c>
      <c r="E49" s="2">
        <f t="shared" si="4"/>
        <v>98.08</v>
      </c>
      <c r="F49" s="2">
        <f t="shared" si="4"/>
        <v>103.47</v>
      </c>
      <c r="G49" s="2">
        <f t="shared" si="4"/>
        <v>68.27</v>
      </c>
      <c r="H49" s="2">
        <f t="shared" si="4"/>
        <v>66.570000000000007</v>
      </c>
      <c r="I49" s="5">
        <f>SUM(I46:I48)</f>
        <v>100.85095168946043</v>
      </c>
      <c r="J49" s="5">
        <f>SUM(J46:J48)</f>
        <v>140.98712701559552</v>
      </c>
      <c r="K49" s="5">
        <f>SUM(K46:K48)</f>
        <v>186.45243612261902</v>
      </c>
      <c r="L49" s="5">
        <f>SUM(L46:L48)</f>
        <v>236.55143654899234</v>
      </c>
      <c r="M49" s="40">
        <f>SUM(M46:M48)</f>
        <v>292.53950606890976</v>
      </c>
    </row>
    <row r="50" spans="2:13" x14ac:dyDescent="0.3">
      <c r="B50" s="30" t="s">
        <v>53</v>
      </c>
      <c r="C50" s="15"/>
      <c r="D50" s="15"/>
      <c r="E50" s="15">
        <v>4762.1899999999996</v>
      </c>
      <c r="F50" s="15">
        <v>0</v>
      </c>
      <c r="G50" s="15"/>
      <c r="H50" s="15"/>
      <c r="I50" s="16"/>
      <c r="J50" s="16"/>
      <c r="K50" s="16"/>
      <c r="L50" s="16"/>
      <c r="M50" s="38"/>
    </row>
    <row r="51" spans="2:13" x14ac:dyDescent="0.3">
      <c r="B51" s="29" t="s">
        <v>54</v>
      </c>
      <c r="C51" s="14"/>
      <c r="D51" s="14"/>
      <c r="E51" s="14"/>
      <c r="F51" s="14"/>
      <c r="G51" s="14"/>
      <c r="H51" s="14"/>
      <c r="I51" s="18"/>
      <c r="J51" s="18"/>
      <c r="K51" s="18"/>
      <c r="L51" s="18"/>
      <c r="M51" s="41"/>
    </row>
    <row r="52" spans="2:13" x14ac:dyDescent="0.3">
      <c r="B52" s="30" t="s">
        <v>55</v>
      </c>
      <c r="C52" s="15">
        <v>53.923299999999998</v>
      </c>
      <c r="D52" s="15">
        <v>152.9847</v>
      </c>
      <c r="E52" s="15">
        <v>153.59</v>
      </c>
      <c r="F52" s="15">
        <v>154.11000000000001</v>
      </c>
      <c r="G52" s="15">
        <v>154.58000000000001</v>
      </c>
      <c r="H52" s="15">
        <v>161.59</v>
      </c>
      <c r="I52" s="16">
        <f>I55*H52/($H$52+$H$53+$H$54)</f>
        <v>267.21324176507642</v>
      </c>
      <c r="J52" s="16">
        <f>J55*H52/($H$52+$H$53+$H$54)</f>
        <v>382.78157912562409</v>
      </c>
      <c r="K52" s="16">
        <f>K55*H52/($H$52+$H$53+$H$54)</f>
        <v>511.88983593888133</v>
      </c>
      <c r="L52" s="16">
        <f>L55*H52/($H$52+$H$53+$H$54)</f>
        <v>653.5037780465085</v>
      </c>
      <c r="M52" s="38">
        <f>M55*H52/($H$52+$H$53+$H$54)</f>
        <v>810.40743933181295</v>
      </c>
    </row>
    <row r="53" spans="2:13" x14ac:dyDescent="0.3">
      <c r="B53" s="30" t="s">
        <v>56</v>
      </c>
      <c r="C53" s="15">
        <v>2140.3811000000001</v>
      </c>
      <c r="D53" s="15">
        <v>5902.9683999999997</v>
      </c>
      <c r="E53" s="15">
        <v>6707.81</v>
      </c>
      <c r="F53" s="15">
        <v>8012.97</v>
      </c>
      <c r="G53" s="15">
        <v>8020.08</v>
      </c>
      <c r="H53" s="15">
        <v>10186.65</v>
      </c>
      <c r="I53" s="16">
        <f>I55-I52-I54</f>
        <v>16845.149880724151</v>
      </c>
      <c r="J53" s="16">
        <f>J55-J52-J54</f>
        <v>24130.589597128772</v>
      </c>
      <c r="K53" s="16">
        <f>K55-K52-K54</f>
        <v>32269.58721001798</v>
      </c>
      <c r="L53" s="16">
        <f>L55-L52-L54</f>
        <v>41196.944493084135</v>
      </c>
      <c r="M53" s="38">
        <f>M55-M52-M54</f>
        <v>51088.167224886514</v>
      </c>
    </row>
    <row r="54" spans="2:13" x14ac:dyDescent="0.3">
      <c r="B54" s="30" t="s">
        <v>57</v>
      </c>
      <c r="C54" s="15"/>
      <c r="D54" s="15">
        <v>2.2673000000000001</v>
      </c>
      <c r="E54" s="15">
        <v>11.77</v>
      </c>
      <c r="F54" s="15">
        <v>0</v>
      </c>
      <c r="G54" s="15"/>
      <c r="H54" s="15"/>
      <c r="I54" s="16"/>
      <c r="J54" s="16"/>
      <c r="K54" s="16"/>
      <c r="L54" s="16"/>
      <c r="M54" s="38"/>
    </row>
    <row r="55" spans="2:13" x14ac:dyDescent="0.3">
      <c r="B55" s="31" t="s">
        <v>58</v>
      </c>
      <c r="C55" s="2">
        <f t="shared" ref="C55:H55" si="5">SUM(C52:C54)</f>
        <v>2194.3044</v>
      </c>
      <c r="D55" s="2">
        <f t="shared" si="5"/>
        <v>6058.2204000000002</v>
      </c>
      <c r="E55" s="2">
        <f t="shared" si="5"/>
        <v>6873.170000000001</v>
      </c>
      <c r="F55" s="2">
        <f t="shared" si="5"/>
        <v>8167.08</v>
      </c>
      <c r="G55" s="2">
        <f t="shared" si="5"/>
        <v>8174.66</v>
      </c>
      <c r="H55" s="2">
        <f t="shared" si="5"/>
        <v>10348.24</v>
      </c>
      <c r="I55" s="5">
        <f>'Regulatory Capital'!D41</f>
        <v>17112.363122489227</v>
      </c>
      <c r="J55" s="5">
        <f>'Regulatory Capital'!E41</f>
        <v>24513.371176254397</v>
      </c>
      <c r="K55" s="5">
        <f>'Regulatory Capital'!F41</f>
        <v>32781.477045956861</v>
      </c>
      <c r="L55" s="5">
        <f>'Regulatory Capital'!G41</f>
        <v>41850.448271130641</v>
      </c>
      <c r="M55" s="40">
        <f>'Regulatory Capital'!H41</f>
        <v>51898.574664218329</v>
      </c>
    </row>
    <row r="56" spans="2:13" x14ac:dyDescent="0.3">
      <c r="B56" s="31" t="s">
        <v>59</v>
      </c>
      <c r="C56" s="2">
        <f t="shared" ref="C56:H56" si="6">C44+C49+C50+C55</f>
        <v>13212.182400000002</v>
      </c>
      <c r="D56" s="2">
        <f t="shared" si="6"/>
        <v>16442.7006</v>
      </c>
      <c r="E56" s="2">
        <f t="shared" si="6"/>
        <v>23220.61</v>
      </c>
      <c r="F56" s="2">
        <f t="shared" si="6"/>
        <v>24086.899999999998</v>
      </c>
      <c r="G56" s="2">
        <f t="shared" si="6"/>
        <v>35029.94</v>
      </c>
      <c r="H56" s="2">
        <f t="shared" si="6"/>
        <v>60271.55999999999</v>
      </c>
      <c r="I56" s="5">
        <f>I44+I49+I50+I55</f>
        <v>93279.964232517683</v>
      </c>
      <c r="J56" s="5">
        <f>J44+J49+J50+J55</f>
        <v>130277.2062889627</v>
      </c>
      <c r="K56" s="5">
        <f>K44+K49+K50+K55</f>
        <v>172190.38827606841</v>
      </c>
      <c r="L56" s="5">
        <f>L44+L49+L50+L55</f>
        <v>218374.93355032342</v>
      </c>
      <c r="M56" s="40">
        <f>M44+M49+M50+M55</f>
        <v>269984.97253796301</v>
      </c>
    </row>
    <row r="57" spans="2:13" x14ac:dyDescent="0.3">
      <c r="B57" s="26"/>
      <c r="I57" s="20"/>
      <c r="J57" s="20"/>
      <c r="K57" s="20"/>
      <c r="L57" s="20"/>
      <c r="M57" s="43"/>
    </row>
    <row r="58" spans="2:13" x14ac:dyDescent="0.3">
      <c r="B58" s="32" t="s">
        <v>214</v>
      </c>
      <c r="C58" s="21">
        <f t="shared" ref="C58:H58" si="7">C31-C56</f>
        <v>0</v>
      </c>
      <c r="D58" s="21">
        <f t="shared" si="7"/>
        <v>0</v>
      </c>
      <c r="E58" s="21">
        <f t="shared" si="7"/>
        <v>0</v>
      </c>
      <c r="F58" s="21">
        <f t="shared" si="7"/>
        <v>0</v>
      </c>
      <c r="G58" s="21">
        <f t="shared" si="7"/>
        <v>0</v>
      </c>
      <c r="H58" s="21">
        <f t="shared" si="7"/>
        <v>0</v>
      </c>
      <c r="I58" s="22">
        <f>I31-I56</f>
        <v>0</v>
      </c>
      <c r="J58" s="22">
        <f>J31-J56</f>
        <v>0</v>
      </c>
      <c r="K58" s="22">
        <f>K31-K56</f>
        <v>0</v>
      </c>
      <c r="L58" s="22">
        <f>L31-L56</f>
        <v>0</v>
      </c>
      <c r="M58" s="44">
        <f>M31-M56</f>
        <v>0</v>
      </c>
    </row>
    <row r="59" spans="2:13" x14ac:dyDescent="0.3">
      <c r="B59" s="26"/>
      <c r="M59" s="35"/>
    </row>
    <row r="60" spans="2:13" x14ac:dyDescent="0.3">
      <c r="B60" s="33" t="s">
        <v>1220</v>
      </c>
      <c r="I60" s="23">
        <f>I55-H55-'Profit &amp; Loss'!I38</f>
        <v>4982.2500700424334</v>
      </c>
      <c r="J60" s="23">
        <f>J55-I55-'Profit &amp; Loss'!J38</f>
        <v>4283.5034248592156</v>
      </c>
      <c r="K60" s="23">
        <f>K55-J55-'Profit &amp; Loss'!K38</f>
        <v>3753.1823028187418</v>
      </c>
      <c r="L60" s="23">
        <f>L55-K55-'Profit &amp; Loss'!L38</f>
        <v>3129.389107978358</v>
      </c>
      <c r="M60" s="45">
        <f>M55-L55-'Profit &amp; Loss'!M38</f>
        <v>2215.9365669141625</v>
      </c>
    </row>
    <row r="61" spans="2:13" x14ac:dyDescent="0.3">
      <c r="B61" s="34" t="s">
        <v>548</v>
      </c>
      <c r="C61" s="24"/>
      <c r="D61" s="24"/>
      <c r="E61" s="24"/>
      <c r="F61" s="24"/>
      <c r="G61" s="24"/>
      <c r="H61" s="24"/>
      <c r="I61" s="25">
        <f>IFERROR((I39+I40+I41)/I55,"")</f>
        <v>4.2894582424083758</v>
      </c>
      <c r="J61" s="25">
        <f>IFERROR((J39+J40+J41)/J55,"")</f>
        <v>4.1568605552550197</v>
      </c>
      <c r="K61" s="25">
        <f>IFERROR((K39+K40+K41)/K55,"")</f>
        <v>4.0967436532103694</v>
      </c>
      <c r="L61" s="25">
        <f>IFERROR((L39+L40+L41)/L55,"")</f>
        <v>4.063024947433747</v>
      </c>
      <c r="M61" s="46">
        <f>IFERROR((M39+M40+M41)/M55,"")</f>
        <v>4.04763355281111</v>
      </c>
    </row>
    <row r="63" spans="2:13" x14ac:dyDescent="0.3">
      <c r="B63" s="11" t="s">
        <v>1224</v>
      </c>
      <c r="C63">
        <v>0.03</v>
      </c>
    </row>
  </sheetData>
  <mergeCells count="3">
    <mergeCell ref="B1:H1"/>
    <mergeCell ref="B3:H3"/>
    <mergeCell ref="B2:M2"/>
  </mergeCells>
  <hyperlinks>
    <hyperlink ref="O1" location="Home!A1" tooltip="Back to Home / Index" display="⌂ Home" xr:uid="{594857FA-6C07-4D0B-9CCC-ED1E6FC0BA91}"/>
  </hyperlinks>
  <pageMargins left="0.25" right="0.25" top="0.75" bottom="0.75" header="0.3" footer="0.3"/>
  <pageSetup scale="53" orientation="portrait"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ED726-0C2F-4265-97B0-2ECABC3AE7E1}">
  <sheetPr>
    <tabColor rgb="FFBFBFBF"/>
  </sheetPr>
  <dimension ref="B1:O77"/>
  <sheetViews>
    <sheetView showGridLines="0" topLeftCell="L1" zoomScaleNormal="100" workbookViewId="0">
      <selection activeCell="M1" sqref="M1:P1048576"/>
    </sheetView>
  </sheetViews>
  <sheetFormatPr defaultRowHeight="14.4" x14ac:dyDescent="0.3"/>
  <cols>
    <col min="1" max="1" width="1.77734375" customWidth="1"/>
    <col min="2" max="2" width="56.33203125" customWidth="1"/>
    <col min="3" max="5" width="9.44140625" bestFit="1" customWidth="1"/>
    <col min="6" max="6" width="10.109375" bestFit="1" customWidth="1"/>
    <col min="7" max="13" width="10.44140625" bestFit="1" customWidth="1"/>
    <col min="14" max="15" width="8.88671875" customWidth="1"/>
  </cols>
  <sheetData>
    <row r="1" spans="2:15" ht="24" customHeight="1" x14ac:dyDescent="0.3">
      <c r="B1" s="505" t="s">
        <v>112</v>
      </c>
      <c r="C1" s="549"/>
      <c r="D1" s="549"/>
      <c r="E1" s="549"/>
      <c r="F1" s="549"/>
      <c r="G1" s="549"/>
      <c r="H1" s="549"/>
      <c r="I1" s="195"/>
      <c r="J1" s="195"/>
      <c r="K1" s="195"/>
      <c r="L1" s="195"/>
      <c r="M1" s="196"/>
      <c r="O1" s="269" t="s">
        <v>891</v>
      </c>
    </row>
    <row r="2" spans="2:15" x14ac:dyDescent="0.3">
      <c r="B2" s="508" t="s">
        <v>61</v>
      </c>
      <c r="C2" s="717"/>
      <c r="D2" s="717"/>
      <c r="E2" s="717"/>
      <c r="F2" s="717"/>
      <c r="G2" s="717"/>
      <c r="H2" s="717"/>
      <c r="I2" s="198"/>
      <c r="J2" s="198"/>
      <c r="K2" s="198"/>
      <c r="L2" s="198"/>
      <c r="M2" s="199"/>
    </row>
    <row r="3" spans="2:15" ht="24" customHeight="1" x14ac:dyDescent="0.3">
      <c r="B3" s="511" t="s">
        <v>2</v>
      </c>
      <c r="C3" s="465"/>
      <c r="D3" s="465"/>
      <c r="E3" s="465"/>
      <c r="F3" s="465"/>
      <c r="G3" s="465"/>
      <c r="H3" s="465"/>
      <c r="M3" s="35"/>
    </row>
    <row r="4" spans="2:15" x14ac:dyDescent="0.3">
      <c r="B4" s="26"/>
      <c r="M4" s="35"/>
    </row>
    <row r="5" spans="2:15" ht="15" thickBot="1" x14ac:dyDescent="0.35">
      <c r="B5" s="47" t="s">
        <v>3</v>
      </c>
      <c r="C5" s="48" t="s">
        <v>4</v>
      </c>
      <c r="D5" s="48" t="s">
        <v>5</v>
      </c>
      <c r="E5" s="48" t="s">
        <v>6</v>
      </c>
      <c r="F5" s="48" t="s">
        <v>7</v>
      </c>
      <c r="G5" s="48" t="s">
        <v>8</v>
      </c>
      <c r="H5" s="48" t="s">
        <v>9</v>
      </c>
      <c r="I5" s="49" t="s">
        <v>257</v>
      </c>
      <c r="J5" s="49" t="s">
        <v>258</v>
      </c>
      <c r="K5" s="49" t="s">
        <v>259</v>
      </c>
      <c r="L5" s="49" t="s">
        <v>260</v>
      </c>
      <c r="M5" s="50" t="s">
        <v>261</v>
      </c>
    </row>
    <row r="6" spans="2:15" x14ac:dyDescent="0.3">
      <c r="B6" s="26"/>
      <c r="M6" s="35"/>
    </row>
    <row r="7" spans="2:15" x14ac:dyDescent="0.3">
      <c r="B7" s="28" t="s">
        <v>113</v>
      </c>
      <c r="C7" s="13"/>
      <c r="D7" s="13"/>
      <c r="E7" s="13"/>
      <c r="F7" s="13"/>
      <c r="G7" s="13"/>
      <c r="H7" s="13"/>
      <c r="I7" s="13"/>
      <c r="J7" s="13"/>
      <c r="K7" s="13"/>
      <c r="L7" s="13"/>
      <c r="M7" s="36"/>
    </row>
    <row r="8" spans="2:15" x14ac:dyDescent="0.3">
      <c r="B8" s="30" t="s">
        <v>114</v>
      </c>
      <c r="C8" s="15">
        <v>-748.76859999999999</v>
      </c>
      <c r="D8" s="15">
        <v>491.67410000000001</v>
      </c>
      <c r="E8" s="15">
        <v>905.19</v>
      </c>
      <c r="F8" s="15">
        <v>2176.2399999999998</v>
      </c>
      <c r="G8" s="15">
        <v>-135.4</v>
      </c>
      <c r="H8" s="15">
        <v>723.61</v>
      </c>
      <c r="I8" s="17">
        <f>'Profit &amp; Loss'!I29</f>
        <v>2381.2281871532723</v>
      </c>
      <c r="J8" s="17">
        <f>'Profit &amp; Loss'!J29</f>
        <v>4166.1160348870162</v>
      </c>
      <c r="K8" s="17">
        <f>'Profit &amp; Loss'!K29</f>
        <v>6033.5741906771636</v>
      </c>
      <c r="L8" s="17">
        <f>'Profit &amp; Loss'!L29</f>
        <v>7937.4343407663</v>
      </c>
      <c r="M8" s="39">
        <f>'Profit &amp; Loss'!M29</f>
        <v>10466.644161664473</v>
      </c>
    </row>
    <row r="9" spans="2:15" x14ac:dyDescent="0.3">
      <c r="B9" s="30" t="s">
        <v>115</v>
      </c>
      <c r="C9" s="15">
        <v>56.252899999999997</v>
      </c>
      <c r="D9" s="15">
        <v>54.550199999999997</v>
      </c>
      <c r="E9" s="15">
        <v>77.63</v>
      </c>
      <c r="F9" s="15">
        <v>64.349999999999994</v>
      </c>
      <c r="G9" s="15">
        <v>65.099999999999994</v>
      </c>
      <c r="H9" s="15">
        <v>94.14</v>
      </c>
      <c r="I9" s="16">
        <f>'CapEx &amp; Depreciation Schedule'!D9</f>
        <v>89.718299999999999</v>
      </c>
      <c r="J9" s="16">
        <f>'CapEx &amp; Depreciation Schedule'!E9</f>
        <v>93.789898499999993</v>
      </c>
      <c r="K9" s="16">
        <f>'CapEx &amp; Depreciation Schedule'!F9</f>
        <v>102.74436030000003</v>
      </c>
      <c r="L9" s="16">
        <f>'CapEx &amp; Depreciation Schedule'!G9</f>
        <v>116.19548824000002</v>
      </c>
      <c r="M9" s="38">
        <f>'CapEx &amp; Depreciation Schedule'!H9</f>
        <v>130.95639059200002</v>
      </c>
    </row>
    <row r="10" spans="2:15" x14ac:dyDescent="0.3">
      <c r="B10" s="30" t="s">
        <v>116</v>
      </c>
      <c r="C10" s="15">
        <v>1447.9926</v>
      </c>
      <c r="D10" s="15">
        <v>77.562799999999996</v>
      </c>
      <c r="E10" s="15">
        <v>115.61</v>
      </c>
      <c r="F10" s="15">
        <v>1556.82</v>
      </c>
      <c r="G10" s="15">
        <v>1458.17</v>
      </c>
      <c r="H10" s="15">
        <v>1104.1300000000001</v>
      </c>
      <c r="I10" s="17">
        <f>'Profit &amp; Loss'!I20</f>
        <v>1565.6075434999996</v>
      </c>
      <c r="J10" s="17">
        <f>'Profit &amp; Loss'!J20</f>
        <v>1980.6186437374997</v>
      </c>
      <c r="K10" s="17">
        <f>'Profit &amp; Loss'!K20</f>
        <v>2421.437605963125</v>
      </c>
      <c r="L10" s="17">
        <f>'Profit &amp; Loss'!L20</f>
        <v>2965.0120648245002</v>
      </c>
      <c r="M10" s="39">
        <f>'Profit &amp; Loss'!M20</f>
        <v>3497.2723520024301</v>
      </c>
    </row>
    <row r="11" spans="2:15" x14ac:dyDescent="0.3">
      <c r="B11" s="30" t="s">
        <v>117</v>
      </c>
      <c r="C11" s="15"/>
      <c r="D11" s="15"/>
      <c r="E11" s="15">
        <v>-242.7</v>
      </c>
      <c r="F11" s="15">
        <v>-2308.9699999999998</v>
      </c>
      <c r="G11" s="15">
        <v>0</v>
      </c>
      <c r="H11" s="15"/>
      <c r="I11" s="16"/>
      <c r="J11" s="16"/>
      <c r="K11" s="16"/>
      <c r="L11" s="16"/>
      <c r="M11" s="38"/>
    </row>
    <row r="12" spans="2:15" x14ac:dyDescent="0.3">
      <c r="B12" s="30" t="s">
        <v>118</v>
      </c>
      <c r="C12" s="15"/>
      <c r="D12" s="15">
        <v>-0.48180000000000001</v>
      </c>
      <c r="E12" s="15"/>
      <c r="F12" s="15">
        <v>0.36</v>
      </c>
      <c r="G12" s="15">
        <v>0</v>
      </c>
      <c r="H12" s="15"/>
      <c r="I12" s="16"/>
      <c r="J12" s="16"/>
      <c r="K12" s="16"/>
      <c r="L12" s="16"/>
      <c r="M12" s="38"/>
    </row>
    <row r="13" spans="2:15" x14ac:dyDescent="0.3">
      <c r="B13" s="30" t="s">
        <v>119</v>
      </c>
      <c r="C13" s="15">
        <v>-0.61319999999999997</v>
      </c>
      <c r="D13" s="15">
        <v>-3.0558000000000001</v>
      </c>
      <c r="E13" s="15">
        <v>-0.65</v>
      </c>
      <c r="F13" s="15">
        <v>-2.1</v>
      </c>
      <c r="G13" s="15">
        <v>13.72</v>
      </c>
      <c r="H13" s="15">
        <v>0</v>
      </c>
      <c r="I13" s="16"/>
      <c r="J13" s="16"/>
      <c r="K13" s="16"/>
      <c r="L13" s="16"/>
      <c r="M13" s="38"/>
    </row>
    <row r="14" spans="2:15" x14ac:dyDescent="0.3">
      <c r="B14" s="30" t="s">
        <v>120</v>
      </c>
      <c r="C14" s="15"/>
      <c r="D14" s="15"/>
      <c r="E14" s="15">
        <v>-3.23</v>
      </c>
      <c r="F14" s="15">
        <v>-0.83</v>
      </c>
      <c r="G14" s="15">
        <v>-0.28000000000000003</v>
      </c>
      <c r="H14" s="15">
        <v>-0.55000000000000004</v>
      </c>
      <c r="I14" s="16"/>
      <c r="J14" s="16"/>
      <c r="K14" s="16"/>
      <c r="L14" s="16"/>
      <c r="M14" s="38"/>
    </row>
    <row r="15" spans="2:15" x14ac:dyDescent="0.3">
      <c r="B15" s="30" t="s">
        <v>121</v>
      </c>
      <c r="C15" s="15">
        <v>0.3427</v>
      </c>
      <c r="D15" s="15">
        <v>0.46160000000000001</v>
      </c>
      <c r="E15" s="15">
        <v>0.66</v>
      </c>
      <c r="F15" s="15">
        <v>12.48</v>
      </c>
      <c r="G15" s="15">
        <v>-6.18</v>
      </c>
      <c r="H15" s="15">
        <v>1.45</v>
      </c>
      <c r="I15" s="16"/>
      <c r="J15" s="16"/>
      <c r="K15" s="16"/>
      <c r="L15" s="16"/>
      <c r="M15" s="38"/>
    </row>
    <row r="16" spans="2:15" x14ac:dyDescent="0.3">
      <c r="B16" s="30" t="s">
        <v>122</v>
      </c>
      <c r="C16" s="15">
        <v>3.1399999999999997E-2</v>
      </c>
      <c r="D16" s="15">
        <v>0</v>
      </c>
      <c r="E16" s="15"/>
      <c r="F16" s="15"/>
      <c r="G16" s="15"/>
      <c r="H16" s="15"/>
      <c r="I16" s="16"/>
      <c r="J16" s="16"/>
      <c r="K16" s="16"/>
      <c r="L16" s="16"/>
      <c r="M16" s="38"/>
    </row>
    <row r="17" spans="2:13" x14ac:dyDescent="0.3">
      <c r="B17" s="30" t="s">
        <v>123</v>
      </c>
      <c r="C17" s="15">
        <v>5.6010999999999997</v>
      </c>
      <c r="D17" s="15">
        <v>16.9513</v>
      </c>
      <c r="E17" s="15">
        <v>161.49</v>
      </c>
      <c r="F17" s="15">
        <v>101.09</v>
      </c>
      <c r="G17" s="15">
        <v>108.9</v>
      </c>
      <c r="H17" s="15">
        <v>69.900000000000006</v>
      </c>
      <c r="I17" s="16"/>
      <c r="J17" s="16"/>
      <c r="K17" s="16"/>
      <c r="L17" s="16"/>
      <c r="M17" s="38"/>
    </row>
    <row r="18" spans="2:13" x14ac:dyDescent="0.3">
      <c r="B18" s="30" t="s">
        <v>124</v>
      </c>
      <c r="C18" s="15">
        <v>-6.8385999999999996</v>
      </c>
      <c r="D18" s="15">
        <v>0</v>
      </c>
      <c r="E18" s="15">
        <v>-0.4</v>
      </c>
      <c r="F18" s="15">
        <v>0</v>
      </c>
      <c r="G18" s="15"/>
      <c r="H18" s="15"/>
      <c r="I18" s="16"/>
      <c r="J18" s="16"/>
      <c r="K18" s="16"/>
      <c r="L18" s="16"/>
      <c r="M18" s="38"/>
    </row>
    <row r="19" spans="2:13" x14ac:dyDescent="0.3">
      <c r="B19" s="30" t="s">
        <v>125</v>
      </c>
      <c r="C19" s="15">
        <v>3.0183</v>
      </c>
      <c r="D19" s="15">
        <v>5.8838999999999997</v>
      </c>
      <c r="E19" s="15">
        <v>8.6300000000000008</v>
      </c>
      <c r="F19" s="15">
        <v>12.5</v>
      </c>
      <c r="G19" s="15">
        <v>16.510000000000002</v>
      </c>
      <c r="H19" s="15">
        <v>25.91</v>
      </c>
      <c r="I19" s="16"/>
      <c r="J19" s="16"/>
      <c r="K19" s="16"/>
      <c r="L19" s="16"/>
      <c r="M19" s="38"/>
    </row>
    <row r="20" spans="2:13" x14ac:dyDescent="0.3">
      <c r="B20" s="30" t="s">
        <v>126</v>
      </c>
      <c r="C20" s="15">
        <v>0</v>
      </c>
      <c r="D20" s="15"/>
      <c r="E20" s="15"/>
      <c r="F20" s="15"/>
      <c r="G20" s="15"/>
      <c r="H20" s="15"/>
      <c r="I20" s="16"/>
      <c r="J20" s="16"/>
      <c r="K20" s="16"/>
      <c r="L20" s="16"/>
      <c r="M20" s="38"/>
    </row>
    <row r="21" spans="2:13" x14ac:dyDescent="0.3">
      <c r="B21" s="30" t="s">
        <v>127</v>
      </c>
      <c r="C21" s="15"/>
      <c r="D21" s="15">
        <v>5.4739000000000004</v>
      </c>
      <c r="E21" s="15">
        <v>-66.94</v>
      </c>
      <c r="F21" s="15">
        <v>-122.78</v>
      </c>
      <c r="G21" s="15">
        <v>-136.1</v>
      </c>
      <c r="H21" s="15">
        <v>-216.83</v>
      </c>
      <c r="I21" s="16"/>
      <c r="J21" s="16"/>
      <c r="K21" s="16"/>
      <c r="L21" s="16"/>
      <c r="M21" s="38"/>
    </row>
    <row r="22" spans="2:13" x14ac:dyDescent="0.3">
      <c r="B22" s="30" t="s">
        <v>74</v>
      </c>
      <c r="C22" s="15"/>
      <c r="D22" s="15"/>
      <c r="E22" s="15"/>
      <c r="F22" s="15"/>
      <c r="G22" s="15">
        <v>94.41</v>
      </c>
      <c r="H22" s="15">
        <v>105.79</v>
      </c>
      <c r="I22" s="16"/>
      <c r="J22" s="16"/>
      <c r="K22" s="16"/>
      <c r="L22" s="16"/>
      <c r="M22" s="38"/>
    </row>
    <row r="23" spans="2:13" x14ac:dyDescent="0.3">
      <c r="B23" s="30" t="s">
        <v>128</v>
      </c>
      <c r="C23" s="15">
        <v>-5.4847999999999999</v>
      </c>
      <c r="D23" s="15">
        <v>-1.5015000000000001</v>
      </c>
      <c r="E23" s="15">
        <v>0</v>
      </c>
      <c r="F23" s="15"/>
      <c r="G23" s="15"/>
      <c r="H23" s="15"/>
      <c r="I23" s="16"/>
      <c r="J23" s="16"/>
      <c r="K23" s="16"/>
      <c r="L23" s="16"/>
      <c r="M23" s="38"/>
    </row>
    <row r="24" spans="2:13" x14ac:dyDescent="0.3">
      <c r="B24" s="30" t="s">
        <v>129</v>
      </c>
      <c r="C24" s="15">
        <v>-4.0651000000000002</v>
      </c>
      <c r="D24" s="15">
        <v>-4.4641999999999999</v>
      </c>
      <c r="E24" s="15">
        <v>-35.18</v>
      </c>
      <c r="F24" s="15">
        <v>-15.1</v>
      </c>
      <c r="G24" s="15">
        <v>0</v>
      </c>
      <c r="H24" s="15"/>
      <c r="I24" s="16"/>
      <c r="J24" s="16"/>
      <c r="K24" s="16"/>
      <c r="L24" s="16"/>
      <c r="M24" s="38"/>
    </row>
    <row r="25" spans="2:13" x14ac:dyDescent="0.3">
      <c r="B25" s="31" t="s">
        <v>130</v>
      </c>
      <c r="C25" s="2">
        <f t="shared" ref="C25:H25" si="0">C8+SUM(C9:C24)</f>
        <v>747.46870000000001</v>
      </c>
      <c r="D25" s="2">
        <f t="shared" si="0"/>
        <v>643.05450000000008</v>
      </c>
      <c r="E25" s="2">
        <f t="shared" si="0"/>
        <v>920.11000000000013</v>
      </c>
      <c r="F25" s="2">
        <f t="shared" si="0"/>
        <v>1474.06</v>
      </c>
      <c r="G25" s="2">
        <f t="shared" si="0"/>
        <v>1478.8500000000001</v>
      </c>
      <c r="H25" s="2">
        <f t="shared" si="0"/>
        <v>1907.5500000000006</v>
      </c>
      <c r="I25" s="5">
        <f>I8+SUM(I9:I24)</f>
        <v>4036.5540306532721</v>
      </c>
      <c r="J25" s="5">
        <f>J8+SUM(J9:J24)</f>
        <v>6240.5245771245154</v>
      </c>
      <c r="K25" s="5">
        <f>K8+SUM(K9:K24)</f>
        <v>8557.7561569402897</v>
      </c>
      <c r="L25" s="5">
        <f>L8+SUM(L9:L24)</f>
        <v>11018.6418938308</v>
      </c>
      <c r="M25" s="40">
        <f>M8+SUM(M9:M24)</f>
        <v>14094.872904258904</v>
      </c>
    </row>
    <row r="26" spans="2:13" x14ac:dyDescent="0.3">
      <c r="B26" s="29" t="s">
        <v>131</v>
      </c>
      <c r="C26" s="14"/>
      <c r="D26" s="14"/>
      <c r="E26" s="14"/>
      <c r="F26" s="14"/>
      <c r="G26" s="14"/>
      <c r="H26" s="14"/>
      <c r="I26" s="18"/>
      <c r="J26" s="18"/>
      <c r="K26" s="18"/>
      <c r="L26" s="18"/>
      <c r="M26" s="41"/>
    </row>
    <row r="27" spans="2:13" x14ac:dyDescent="0.3">
      <c r="B27" s="30" t="s">
        <v>132</v>
      </c>
      <c r="C27" s="15">
        <v>-3.0017999999999998</v>
      </c>
      <c r="D27" s="15">
        <v>-1.1154999999999999</v>
      </c>
      <c r="E27" s="15">
        <v>-6.64</v>
      </c>
      <c r="F27" s="15">
        <v>-20.78</v>
      </c>
      <c r="G27" s="15">
        <v>9.9499999999999993</v>
      </c>
      <c r="H27" s="15">
        <v>-13.14</v>
      </c>
      <c r="I27" s="16"/>
      <c r="J27" s="16"/>
      <c r="K27" s="16"/>
      <c r="L27" s="16"/>
      <c r="M27" s="38"/>
    </row>
    <row r="28" spans="2:13" x14ac:dyDescent="0.3">
      <c r="B28" s="30" t="s">
        <v>133</v>
      </c>
      <c r="C28" s="15">
        <v>753.37239999999997</v>
      </c>
      <c r="D28" s="15">
        <v>-3569.8454999999999</v>
      </c>
      <c r="E28" s="15">
        <v>-5889.48</v>
      </c>
      <c r="F28" s="15">
        <v>-8729.18</v>
      </c>
      <c r="G28" s="15">
        <v>-12178.8</v>
      </c>
      <c r="H28" s="15">
        <v>-24504.79</v>
      </c>
      <c r="I28" s="16">
        <f>-('Business Drivers'!D19+'Business Drivers'!D20)</f>
        <v>-30424.978499999994</v>
      </c>
      <c r="J28" s="16">
        <f>-('Business Drivers'!E19+'Business Drivers'!E20)</f>
        <v>-35733.236025000006</v>
      </c>
      <c r="K28" s="16">
        <f>-('Business Drivers'!F19+'Business Drivers'!F20)</f>
        <v>-40655.603416250007</v>
      </c>
      <c r="L28" s="16">
        <f>-('Business Drivers'!G19+'Business Drivers'!G20)</f>
        <v>-45095.892220562499</v>
      </c>
      <c r="M28" s="38">
        <f>-('Business Drivers'!H19+'Business Drivers'!H20)</f>
        <v>-50580.57994336565</v>
      </c>
    </row>
    <row r="29" spans="2:13" x14ac:dyDescent="0.3">
      <c r="B29" s="30" t="s">
        <v>134</v>
      </c>
      <c r="C29" s="15">
        <v>28.692</v>
      </c>
      <c r="D29" s="15">
        <v>48.330599999999997</v>
      </c>
      <c r="E29" s="15">
        <v>-454.05</v>
      </c>
      <c r="F29" s="15">
        <v>217.71</v>
      </c>
      <c r="G29" s="15">
        <v>189.39</v>
      </c>
      <c r="H29" s="15">
        <v>134.76</v>
      </c>
      <c r="I29" s="16">
        <f>-(('Balance Sheet'!I10+'Balance Sheet'!I11+'Balance Sheet'!I12+'Balance Sheet'!I13+'Balance Sheet'!I15+'Balance Sheet'!I16+'Balance Sheet'!I19+'Balance Sheet'!I20+'Balance Sheet'!I21+'Balance Sheet'!I27+'Balance Sheet'!I29)-(('Balance Sheet'!H31-'Balance Sheet'!H14-'Balance Sheet'!H9)-('Balance Sheet'!H22+'Balance Sheet'!H23+'Balance Sheet'!H25+'Balance Sheet'!H26)))</f>
        <v>-1860.4257473226521</v>
      </c>
      <c r="J29" s="16">
        <f>-(('Balance Sheet'!J10+'Balance Sheet'!J11+'Balance Sheet'!J12+'Balance Sheet'!J13+'Balance Sheet'!J15+'Balance Sheet'!J16+'Balance Sheet'!J19+'Balance Sheet'!J20+'Balance Sheet'!J21+'Balance Sheet'!J27+'Balance Sheet'!J29)-('Balance Sheet'!I10+'Balance Sheet'!I11+'Balance Sheet'!I12+'Balance Sheet'!I13+'Balance Sheet'!I15+'Balance Sheet'!I16+'Balance Sheet'!I19+'Balance Sheet'!I20+'Balance Sheet'!I21+'Balance Sheet'!I27+'Balance Sheet'!I29))</f>
        <v>-2175.8360522446819</v>
      </c>
      <c r="K29" s="16">
        <f>-(('Balance Sheet'!K10+'Balance Sheet'!K11+'Balance Sheet'!K12+'Balance Sheet'!K13+'Balance Sheet'!K15+'Balance Sheet'!K16+'Balance Sheet'!K19+'Balance Sheet'!K20+'Balance Sheet'!K21+'Balance Sheet'!K27+'Balance Sheet'!K29)-('Balance Sheet'!J10+'Balance Sheet'!J11+'Balance Sheet'!J12+'Balance Sheet'!J13+'Balance Sheet'!J15+'Balance Sheet'!J16+'Balance Sheet'!J19+'Balance Sheet'!J20+'Balance Sheet'!J21+'Balance Sheet'!J27+'Balance Sheet'!J29))</f>
        <v>-2464.7355628101977</v>
      </c>
      <c r="L29" s="16">
        <f>-(('Balance Sheet'!L10+'Balance Sheet'!L11+'Balance Sheet'!L12+'Balance Sheet'!L13+'Balance Sheet'!L15+'Balance Sheet'!L16+'Balance Sheet'!L19+'Balance Sheet'!L20+'Balance Sheet'!L21+'Balance Sheet'!L27+'Balance Sheet'!L29)-('Balance Sheet'!K10+'Balance Sheet'!K11+'Balance Sheet'!K12+'Balance Sheet'!K13+'Balance Sheet'!K15+'Balance Sheet'!K16+'Balance Sheet'!K19+'Balance Sheet'!K20+'Balance Sheet'!K21+'Balance Sheet'!K27+'Balance Sheet'!K29))</f>
        <v>-2715.9342020848617</v>
      </c>
      <c r="M29" s="38">
        <f>-(('Balance Sheet'!M10+'Balance Sheet'!M11+'Balance Sheet'!M12+'Balance Sheet'!M13+'Balance Sheet'!M15+'Balance Sheet'!M16+'Balance Sheet'!M19+'Balance Sheet'!M20+'Balance Sheet'!M21+'Balance Sheet'!M27+'Balance Sheet'!M29)-('Balance Sheet'!L10+'Balance Sheet'!L11+'Balance Sheet'!L12+'Balance Sheet'!L13+'Balance Sheet'!L15+'Balance Sheet'!L16+'Balance Sheet'!L19+'Balance Sheet'!L20+'Balance Sheet'!L21+'Balance Sheet'!L27+'Balance Sheet'!L29))</f>
        <v>-3035.1885591274367</v>
      </c>
    </row>
    <row r="30" spans="2:13" x14ac:dyDescent="0.3">
      <c r="B30" s="30" t="s">
        <v>135</v>
      </c>
      <c r="C30" s="15">
        <v>7.5632999999999999</v>
      </c>
      <c r="D30" s="15">
        <v>2.8233999999999999</v>
      </c>
      <c r="E30" s="15">
        <v>-16.53</v>
      </c>
      <c r="F30" s="15">
        <v>-2.39</v>
      </c>
      <c r="G30" s="15">
        <v>-75.97</v>
      </c>
      <c r="H30" s="15">
        <v>-11.62</v>
      </c>
      <c r="I30" s="16"/>
      <c r="J30" s="16"/>
      <c r="K30" s="16"/>
      <c r="L30" s="16"/>
      <c r="M30" s="38"/>
    </row>
    <row r="31" spans="2:13" x14ac:dyDescent="0.3">
      <c r="B31" s="30" t="s">
        <v>136</v>
      </c>
      <c r="C31" s="15"/>
      <c r="D31" s="15">
        <v>-3.0691000000000002</v>
      </c>
      <c r="E31" s="15">
        <v>0.24</v>
      </c>
      <c r="F31" s="15">
        <v>0</v>
      </c>
      <c r="G31" s="15"/>
      <c r="H31" s="15"/>
      <c r="I31" s="16"/>
      <c r="J31" s="16"/>
      <c r="K31" s="16"/>
      <c r="L31" s="16"/>
      <c r="M31" s="38"/>
    </row>
    <row r="32" spans="2:13" x14ac:dyDescent="0.3">
      <c r="B32" s="30" t="s">
        <v>137</v>
      </c>
      <c r="C32" s="15"/>
      <c r="D32" s="15"/>
      <c r="E32" s="15">
        <v>1.08</v>
      </c>
      <c r="F32" s="15">
        <v>0</v>
      </c>
      <c r="G32" s="15"/>
      <c r="H32" s="15"/>
      <c r="I32" s="16"/>
      <c r="J32" s="16"/>
      <c r="K32" s="16"/>
      <c r="L32" s="16"/>
      <c r="M32" s="38"/>
    </row>
    <row r="33" spans="2:13" x14ac:dyDescent="0.3">
      <c r="B33" s="30" t="s">
        <v>138</v>
      </c>
      <c r="C33" s="15"/>
      <c r="D33" s="15"/>
      <c r="E33" s="15">
        <v>147.47999999999999</v>
      </c>
      <c r="F33" s="15">
        <v>-179</v>
      </c>
      <c r="G33" s="15">
        <v>5.72</v>
      </c>
      <c r="H33" s="15">
        <v>-0.04</v>
      </c>
      <c r="I33" s="16"/>
      <c r="J33" s="16"/>
      <c r="K33" s="16"/>
      <c r="L33" s="16"/>
      <c r="M33" s="38"/>
    </row>
    <row r="34" spans="2:13" x14ac:dyDescent="0.3">
      <c r="B34" s="30" t="s">
        <v>139</v>
      </c>
      <c r="C34" s="15">
        <v>75.736000000000004</v>
      </c>
      <c r="D34" s="15">
        <v>-73.383899999999997</v>
      </c>
      <c r="E34" s="15">
        <v>1.86</v>
      </c>
      <c r="F34" s="15">
        <v>9.1199999999999992</v>
      </c>
      <c r="G34" s="15">
        <v>0.88</v>
      </c>
      <c r="H34" s="15">
        <v>0.63</v>
      </c>
      <c r="I34" s="16"/>
      <c r="J34" s="16"/>
      <c r="K34" s="16"/>
      <c r="L34" s="16"/>
      <c r="M34" s="38"/>
    </row>
    <row r="35" spans="2:13" x14ac:dyDescent="0.3">
      <c r="B35" s="30" t="s">
        <v>140</v>
      </c>
      <c r="C35" s="15">
        <v>-3.9931999999999999</v>
      </c>
      <c r="D35" s="15">
        <v>-18.260000000000002</v>
      </c>
      <c r="E35" s="15">
        <v>88.19</v>
      </c>
      <c r="F35" s="15">
        <v>330.02</v>
      </c>
      <c r="G35" s="15">
        <v>7.79</v>
      </c>
      <c r="H35" s="15">
        <v>739.05</v>
      </c>
      <c r="I35" s="16">
        <f>('Balance Sheet'!I14*0.0326)-('Balance Sheet'!H56-('Balance Sheet'!H39+'Balance Sheet'!H40+'Balance Sheet'!H41)-'Balance Sheet'!H55)</f>
        <v>939.81406718190465</v>
      </c>
      <c r="J35" s="16">
        <f>('Balance Sheet'!J14*0.0326)-('Balance Sheet'!I14*0.0326)</f>
        <v>1100.3353266291574</v>
      </c>
      <c r="K35" s="16">
        <f>('Balance Sheet'!K14*0.0326)-('Balance Sheet'!J14*0.0326)</f>
        <v>1246.4338054153527</v>
      </c>
      <c r="L35" s="16">
        <f>('Balance Sheet'!L14*0.0326)-('Balance Sheet'!K14*0.0326)</f>
        <v>1373.4666930770582</v>
      </c>
      <c r="M35" s="38">
        <f>('Balance Sheet'!M14*0.0326)-('Balance Sheet'!L14*0.0326)</f>
        <v>1534.9158274784404</v>
      </c>
    </row>
    <row r="36" spans="2:13" x14ac:dyDescent="0.3">
      <c r="B36" s="30" t="s">
        <v>141</v>
      </c>
      <c r="C36" s="15">
        <v>4.4861000000000004</v>
      </c>
      <c r="D36" s="15">
        <v>-1.5569</v>
      </c>
      <c r="E36" s="15">
        <v>1.69</v>
      </c>
      <c r="F36" s="15">
        <v>1.1200000000000001</v>
      </c>
      <c r="G36" s="15">
        <v>2.1800000000000002</v>
      </c>
      <c r="H36" s="15">
        <v>7.4</v>
      </c>
      <c r="I36" s="16"/>
      <c r="J36" s="16"/>
      <c r="K36" s="16"/>
      <c r="L36" s="16"/>
      <c r="M36" s="38"/>
    </row>
    <row r="37" spans="2:13" x14ac:dyDescent="0.3">
      <c r="B37" s="30" t="s">
        <v>142</v>
      </c>
      <c r="C37" s="15">
        <v>38.355699999999999</v>
      </c>
      <c r="D37" s="15">
        <v>-24.811299999999999</v>
      </c>
      <c r="E37" s="15">
        <v>24.27</v>
      </c>
      <c r="F37" s="15">
        <v>6.38</v>
      </c>
      <c r="G37" s="15">
        <v>-39.57</v>
      </c>
      <c r="H37" s="15">
        <v>3.89</v>
      </c>
      <c r="I37" s="16"/>
      <c r="J37" s="16"/>
      <c r="K37" s="16"/>
      <c r="L37" s="16"/>
      <c r="M37" s="38"/>
    </row>
    <row r="38" spans="2:13" x14ac:dyDescent="0.3">
      <c r="B38" s="31" t="s">
        <v>143</v>
      </c>
      <c r="C38" s="2">
        <f t="shared" ref="C38:H38" si="1">C25+SUM(C27:C37)</f>
        <v>1648.6792</v>
      </c>
      <c r="D38" s="2">
        <f t="shared" si="1"/>
        <v>-2997.8336999999997</v>
      </c>
      <c r="E38" s="2">
        <f t="shared" si="1"/>
        <v>-5181.7800000000007</v>
      </c>
      <c r="F38" s="2">
        <f t="shared" si="1"/>
        <v>-6892.9400000000005</v>
      </c>
      <c r="G38" s="2">
        <f t="shared" si="1"/>
        <v>-10599.579999999998</v>
      </c>
      <c r="H38" s="2">
        <f t="shared" si="1"/>
        <v>-21736.31</v>
      </c>
      <c r="I38" s="5">
        <f>I25+SUM(I27:I37)</f>
        <v>-27309.036149487471</v>
      </c>
      <c r="J38" s="5">
        <f>J25+SUM(J27:J37)</f>
        <v>-30568.212173491011</v>
      </c>
      <c r="K38" s="5">
        <f>K25+SUM(K27:K37)</f>
        <v>-33316.149016704563</v>
      </c>
      <c r="L38" s="5">
        <f>L25+SUM(L27:L37)</f>
        <v>-35419.71783573951</v>
      </c>
      <c r="M38" s="40">
        <f>M25+SUM(M27:M37)</f>
        <v>-37985.979770755737</v>
      </c>
    </row>
    <row r="39" spans="2:13" x14ac:dyDescent="0.3">
      <c r="B39" s="30" t="s">
        <v>144</v>
      </c>
      <c r="C39" s="15">
        <v>-4.3826000000000001</v>
      </c>
      <c r="D39" s="15">
        <v>-51.452199999999998</v>
      </c>
      <c r="E39" s="15">
        <v>-54.76</v>
      </c>
      <c r="F39" s="15">
        <v>-663.55</v>
      </c>
      <c r="G39" s="15">
        <v>30.15</v>
      </c>
      <c r="H39" s="15">
        <v>-49.28</v>
      </c>
      <c r="I39" s="16">
        <f>-'Profit &amp; Loss'!I33</f>
        <v>-599.35513470647857</v>
      </c>
      <c r="J39" s="16">
        <f>-'Profit &amp; Loss'!J33</f>
        <v>-1048.6114059810618</v>
      </c>
      <c r="K39" s="16">
        <f>-'Profit &amp; Loss'!K33</f>
        <v>-1518.650623793442</v>
      </c>
      <c r="L39" s="16">
        <f>-'Profit &amp; Loss'!L33</f>
        <v>-1997.8522235708776</v>
      </c>
      <c r="M39" s="38">
        <f>-'Profit &amp; Loss'!M33</f>
        <v>-2634.4543354909479</v>
      </c>
    </row>
    <row r="40" spans="2:13" x14ac:dyDescent="0.3">
      <c r="B40" s="31" t="s">
        <v>145</v>
      </c>
      <c r="C40" s="2">
        <f t="shared" ref="C40:H40" si="2">C38+C39</f>
        <v>1644.2966000000001</v>
      </c>
      <c r="D40" s="2">
        <f t="shared" si="2"/>
        <v>-3049.2858999999999</v>
      </c>
      <c r="E40" s="2">
        <f t="shared" si="2"/>
        <v>-5236.5400000000009</v>
      </c>
      <c r="F40" s="2">
        <f t="shared" si="2"/>
        <v>-7556.4900000000007</v>
      </c>
      <c r="G40" s="2">
        <f t="shared" si="2"/>
        <v>-10569.429999999998</v>
      </c>
      <c r="H40" s="2">
        <f t="shared" si="2"/>
        <v>-21785.59</v>
      </c>
      <c r="I40" s="5">
        <f>I38+I39</f>
        <v>-27908.391284193949</v>
      </c>
      <c r="J40" s="5">
        <f>J38+J39</f>
        <v>-31616.823579472071</v>
      </c>
      <c r="K40" s="5">
        <f>K38+K39</f>
        <v>-34834.799640498008</v>
      </c>
      <c r="L40" s="5">
        <f>L38+L39</f>
        <v>-37417.57005931039</v>
      </c>
      <c r="M40" s="40">
        <f>M38+M39</f>
        <v>-40620.434106246685</v>
      </c>
    </row>
    <row r="41" spans="2:13" x14ac:dyDescent="0.3">
      <c r="B41" s="28" t="s">
        <v>146</v>
      </c>
      <c r="C41" s="13"/>
      <c r="D41" s="13"/>
      <c r="E41" s="13"/>
      <c r="F41" s="13"/>
      <c r="G41" s="13"/>
      <c r="H41" s="13"/>
      <c r="I41" s="19"/>
      <c r="J41" s="19"/>
      <c r="K41" s="19"/>
      <c r="L41" s="19"/>
      <c r="M41" s="42"/>
    </row>
    <row r="42" spans="2:13" x14ac:dyDescent="0.3">
      <c r="B42" s="30" t="s">
        <v>147</v>
      </c>
      <c r="C42" s="15">
        <v>-19.360700000000001</v>
      </c>
      <c r="D42" s="15">
        <v>-62.406999999999996</v>
      </c>
      <c r="E42" s="15">
        <v>-63.5</v>
      </c>
      <c r="F42" s="15">
        <v>-9.41</v>
      </c>
      <c r="G42" s="15">
        <v>-28.22</v>
      </c>
      <c r="H42" s="15">
        <v>-94.39</v>
      </c>
      <c r="I42" s="16">
        <f>-'CapEx &amp; Depreciation Schedule'!D7</f>
        <v>-120</v>
      </c>
      <c r="J42" s="16">
        <f>-'CapEx &amp; Depreciation Schedule'!E7</f>
        <v>-150</v>
      </c>
      <c r="K42" s="16">
        <f>-'CapEx &amp; Depreciation Schedule'!F7</f>
        <v>-170</v>
      </c>
      <c r="L42" s="16">
        <f>-'CapEx &amp; Depreciation Schedule'!G7</f>
        <v>-190</v>
      </c>
      <c r="M42" s="38">
        <f>-'CapEx &amp; Depreciation Schedule'!H7</f>
        <v>-210</v>
      </c>
    </row>
    <row r="43" spans="2:13" x14ac:dyDescent="0.3">
      <c r="B43" s="30" t="s">
        <v>148</v>
      </c>
      <c r="C43" s="15">
        <v>11.283799999999999</v>
      </c>
      <c r="D43" s="15">
        <v>24.174099999999999</v>
      </c>
      <c r="E43" s="15">
        <v>12.43</v>
      </c>
      <c r="F43" s="15">
        <v>25.93</v>
      </c>
      <c r="G43" s="15">
        <v>15.34</v>
      </c>
      <c r="H43" s="15">
        <v>5.66</v>
      </c>
      <c r="I43" s="16"/>
      <c r="J43" s="16"/>
      <c r="K43" s="16"/>
      <c r="L43" s="16"/>
      <c r="M43" s="38"/>
    </row>
    <row r="44" spans="2:13" x14ac:dyDescent="0.3">
      <c r="B44" s="30" t="s">
        <v>149</v>
      </c>
      <c r="C44" s="15">
        <v>-3.1732</v>
      </c>
      <c r="D44" s="15">
        <v>-0.39340000000000003</v>
      </c>
      <c r="E44" s="15">
        <v>-17.52</v>
      </c>
      <c r="F44" s="15">
        <v>-8.5</v>
      </c>
      <c r="G44" s="15">
        <v>-15.1</v>
      </c>
      <c r="H44" s="15">
        <v>-12.63</v>
      </c>
      <c r="I44" s="16"/>
      <c r="J44" s="16"/>
      <c r="K44" s="16"/>
      <c r="L44" s="16"/>
      <c r="M44" s="38"/>
    </row>
    <row r="45" spans="2:13" x14ac:dyDescent="0.3">
      <c r="B45" s="30" t="s">
        <v>150</v>
      </c>
      <c r="C45" s="15">
        <v>-2558.7728000000002</v>
      </c>
      <c r="D45" s="15">
        <v>-132.1686</v>
      </c>
      <c r="E45" s="15"/>
      <c r="F45" s="15"/>
      <c r="G45" s="15"/>
      <c r="H45" s="15"/>
      <c r="I45" s="16"/>
      <c r="J45" s="16"/>
      <c r="K45" s="16"/>
      <c r="L45" s="16"/>
      <c r="M45" s="38"/>
    </row>
    <row r="46" spans="2:13" x14ac:dyDescent="0.3">
      <c r="B46" s="30" t="s">
        <v>151</v>
      </c>
      <c r="C46" s="15">
        <v>2644.1794</v>
      </c>
      <c r="D46" s="15">
        <v>308.25790000000001</v>
      </c>
      <c r="E46" s="15">
        <v>1.06</v>
      </c>
      <c r="F46" s="15"/>
      <c r="G46" s="15"/>
      <c r="H46" s="15"/>
      <c r="I46" s="16"/>
      <c r="J46" s="16"/>
      <c r="K46" s="16"/>
      <c r="L46" s="16"/>
      <c r="M46" s="38"/>
    </row>
    <row r="47" spans="2:13" x14ac:dyDescent="0.3">
      <c r="B47" s="30" t="s">
        <v>152</v>
      </c>
      <c r="C47" s="15">
        <v>0</v>
      </c>
      <c r="D47" s="15"/>
      <c r="E47" s="15"/>
      <c r="F47" s="15"/>
      <c r="G47" s="15"/>
      <c r="H47" s="15"/>
      <c r="I47" s="16"/>
      <c r="J47" s="16"/>
      <c r="K47" s="16"/>
      <c r="L47" s="16"/>
      <c r="M47" s="38"/>
    </row>
    <row r="48" spans="2:13" x14ac:dyDescent="0.3">
      <c r="B48" s="30" t="s">
        <v>153</v>
      </c>
      <c r="C48" s="15">
        <v>0</v>
      </c>
      <c r="D48" s="15"/>
      <c r="E48" s="15"/>
      <c r="F48" s="15"/>
      <c r="G48" s="15"/>
      <c r="H48" s="15"/>
      <c r="I48" s="16"/>
      <c r="J48" s="16"/>
      <c r="K48" s="16"/>
      <c r="L48" s="16"/>
      <c r="M48" s="38"/>
    </row>
    <row r="49" spans="2:13" x14ac:dyDescent="0.3">
      <c r="B49" s="30" t="s">
        <v>154</v>
      </c>
      <c r="C49" s="15"/>
      <c r="D49" s="15"/>
      <c r="E49" s="15"/>
      <c r="F49" s="15">
        <v>3533.36</v>
      </c>
      <c r="G49" s="15">
        <v>0</v>
      </c>
      <c r="H49" s="15"/>
      <c r="I49" s="16"/>
      <c r="J49" s="16"/>
      <c r="K49" s="16"/>
      <c r="L49" s="16"/>
      <c r="M49" s="38"/>
    </row>
    <row r="50" spans="2:13" x14ac:dyDescent="0.3">
      <c r="B50" s="30" t="s">
        <v>155</v>
      </c>
      <c r="C50" s="15"/>
      <c r="D50" s="15">
        <v>-203</v>
      </c>
      <c r="E50" s="15">
        <v>-1952.5</v>
      </c>
      <c r="F50" s="15">
        <v>-84028.65</v>
      </c>
      <c r="G50" s="15"/>
      <c r="H50" s="15"/>
      <c r="I50" s="16"/>
      <c r="J50" s="16"/>
      <c r="K50" s="16"/>
      <c r="L50" s="16"/>
      <c r="M50" s="38"/>
    </row>
    <row r="51" spans="2:13" x14ac:dyDescent="0.3">
      <c r="B51" s="30" t="s">
        <v>156</v>
      </c>
      <c r="C51" s="15">
        <v>7.1896000000000004</v>
      </c>
      <c r="D51" s="15">
        <v>208.78659999999999</v>
      </c>
      <c r="E51" s="15">
        <v>1909.58</v>
      </c>
      <c r="F51" s="15">
        <v>83644.570000000007</v>
      </c>
      <c r="G51" s="15"/>
      <c r="H51" s="15"/>
      <c r="I51" s="16"/>
      <c r="J51" s="16"/>
      <c r="K51" s="16"/>
      <c r="L51" s="16"/>
      <c r="M51" s="38"/>
    </row>
    <row r="52" spans="2:13" x14ac:dyDescent="0.3">
      <c r="B52" s="30" t="s">
        <v>157</v>
      </c>
      <c r="C52" s="15"/>
      <c r="D52" s="15"/>
      <c r="E52" s="15"/>
      <c r="F52" s="15"/>
      <c r="G52" s="15">
        <v>-385.59</v>
      </c>
      <c r="H52" s="15">
        <v>-1234.18</v>
      </c>
      <c r="I52" s="16"/>
      <c r="J52" s="16"/>
      <c r="K52" s="16"/>
      <c r="L52" s="16"/>
      <c r="M52" s="38"/>
    </row>
    <row r="53" spans="2:13" x14ac:dyDescent="0.3">
      <c r="B53" s="30" t="s">
        <v>158</v>
      </c>
      <c r="C53" s="15"/>
      <c r="D53" s="15"/>
      <c r="E53" s="15"/>
      <c r="F53" s="15">
        <v>-186.85</v>
      </c>
      <c r="G53" s="15">
        <v>-53.02</v>
      </c>
      <c r="H53" s="15"/>
      <c r="I53" s="16"/>
      <c r="J53" s="16"/>
      <c r="K53" s="16"/>
      <c r="L53" s="16"/>
      <c r="M53" s="38"/>
    </row>
    <row r="54" spans="2:13" x14ac:dyDescent="0.3">
      <c r="B54" s="30" t="s">
        <v>159</v>
      </c>
      <c r="C54" s="15"/>
      <c r="D54" s="15"/>
      <c r="E54" s="15"/>
      <c r="F54" s="15"/>
      <c r="G54" s="15"/>
      <c r="H54" s="15">
        <v>11.82</v>
      </c>
      <c r="I54" s="16"/>
      <c r="J54" s="16"/>
      <c r="K54" s="16"/>
      <c r="L54" s="16"/>
      <c r="M54" s="38"/>
    </row>
    <row r="55" spans="2:13" x14ac:dyDescent="0.3">
      <c r="B55" s="30" t="s">
        <v>160</v>
      </c>
      <c r="C55" s="15"/>
      <c r="D55" s="15"/>
      <c r="E55" s="15"/>
      <c r="F55" s="15">
        <v>-1.1000000000000001</v>
      </c>
      <c r="G55" s="15">
        <v>-15.32</v>
      </c>
      <c r="H55" s="15">
        <v>-16.600000000000001</v>
      </c>
      <c r="I55" s="16"/>
      <c r="J55" s="16"/>
      <c r="K55" s="16"/>
      <c r="L55" s="16"/>
      <c r="M55" s="38"/>
    </row>
    <row r="56" spans="2:13" x14ac:dyDescent="0.3">
      <c r="B56" s="31" t="s">
        <v>161</v>
      </c>
      <c r="C56" s="2">
        <f t="shared" ref="C56:H56" si="3">SUM(C42:C55)</f>
        <v>81.346099999999595</v>
      </c>
      <c r="D56" s="2">
        <f t="shared" si="3"/>
        <v>143.24960000000002</v>
      </c>
      <c r="E56" s="2">
        <f t="shared" si="3"/>
        <v>-110.45000000000005</v>
      </c>
      <c r="F56" s="2">
        <f t="shared" si="3"/>
        <v>2969.3500000000176</v>
      </c>
      <c r="G56" s="2">
        <f t="shared" si="3"/>
        <v>-481.90999999999997</v>
      </c>
      <c r="H56" s="2">
        <f t="shared" si="3"/>
        <v>-1340.32</v>
      </c>
      <c r="I56" s="5">
        <f>SUM(I42:I55)</f>
        <v>-120</v>
      </c>
      <c r="J56" s="5">
        <f>SUM(J42:J55)</f>
        <v>-150</v>
      </c>
      <c r="K56" s="5">
        <f>SUM(K42:K55)</f>
        <v>-170</v>
      </c>
      <c r="L56" s="5">
        <f>SUM(L42:L55)</f>
        <v>-190</v>
      </c>
      <c r="M56" s="40">
        <f>SUM(M42:M55)</f>
        <v>-210</v>
      </c>
    </row>
    <row r="57" spans="2:13" x14ac:dyDescent="0.3">
      <c r="B57" s="28" t="s">
        <v>162</v>
      </c>
      <c r="C57" s="13"/>
      <c r="D57" s="13"/>
      <c r="E57" s="13"/>
      <c r="F57" s="13"/>
      <c r="G57" s="13"/>
      <c r="H57" s="13"/>
      <c r="I57" s="19"/>
      <c r="J57" s="19"/>
      <c r="K57" s="19"/>
      <c r="L57" s="19"/>
      <c r="M57" s="42"/>
    </row>
    <row r="58" spans="2:13" x14ac:dyDescent="0.3">
      <c r="B58" s="30" t="s">
        <v>163</v>
      </c>
      <c r="C58" s="15">
        <v>585</v>
      </c>
      <c r="D58" s="15"/>
      <c r="E58" s="15">
        <v>500</v>
      </c>
      <c r="F58" s="15">
        <v>1300</v>
      </c>
      <c r="G58" s="15">
        <v>959.92</v>
      </c>
      <c r="H58" s="15">
        <v>13831.64</v>
      </c>
      <c r="I58" s="16"/>
      <c r="J58" s="16"/>
      <c r="K58" s="16"/>
      <c r="L58" s="16"/>
      <c r="M58" s="38"/>
    </row>
    <row r="59" spans="2:13" x14ac:dyDescent="0.3">
      <c r="B59" s="30" t="s">
        <v>164</v>
      </c>
      <c r="C59" s="15">
        <v>-50.005299999999998</v>
      </c>
      <c r="D59" s="15">
        <v>-574.16890000000001</v>
      </c>
      <c r="E59" s="15">
        <v>-346.24</v>
      </c>
      <c r="F59" s="15">
        <v>-607.5</v>
      </c>
      <c r="G59" s="15">
        <v>-522.67999999999995</v>
      </c>
      <c r="H59" s="15">
        <v>-562</v>
      </c>
      <c r="I59" s="16"/>
      <c r="J59" s="16"/>
      <c r="K59" s="16"/>
      <c r="L59" s="16"/>
      <c r="M59" s="38"/>
    </row>
    <row r="60" spans="2:13" x14ac:dyDescent="0.3">
      <c r="B60" s="30" t="s">
        <v>165</v>
      </c>
      <c r="C60" s="15">
        <v>1354.7635</v>
      </c>
      <c r="D60" s="15">
        <v>4733.2860000000001</v>
      </c>
      <c r="E60" s="15">
        <v>7969.97</v>
      </c>
      <c r="F60" s="15">
        <v>9111.15</v>
      </c>
      <c r="G60" s="15">
        <v>15077.4</v>
      </c>
      <c r="H60" s="15">
        <v>16006.4</v>
      </c>
      <c r="I60" s="16">
        <f>('Balance Sheet'!I39+'Balance Sheet'!I40+'Balance Sheet'!I41)-('Balance Sheet'!H39+'Balance Sheet'!H40+'Balance Sheet'!H41)</f>
        <v>25304.467042846554</v>
      </c>
      <c r="J60" s="16">
        <f>('Balance Sheet'!J39+'Balance Sheet'!J40+'Balance Sheet'!J41)-('Balance Sheet'!I39+'Balance Sheet'!I40+'Balance Sheet'!I41)</f>
        <v>28495.898676050696</v>
      </c>
      <c r="K60" s="16">
        <f>('Balance Sheet'!K39+'Balance Sheet'!K40+'Balance Sheet'!K41)-('Balance Sheet'!J39+'Balance Sheet'!J40+'Balance Sheet'!J41)</f>
        <v>32398.642311987933</v>
      </c>
      <c r="L60" s="16">
        <f>('Balance Sheet'!L39+'Balance Sheet'!L40+'Balance Sheet'!L41)-('Balance Sheet'!K39+'Balance Sheet'!K40+'Balance Sheet'!K41)</f>
        <v>35742.107356004126</v>
      </c>
      <c r="M60" s="38">
        <f>('Balance Sheet'!M39+'Balance Sheet'!M40+'Balance Sheet'!M41)-('Balance Sheet'!L39+'Balance Sheet'!L40+'Balance Sheet'!L41)</f>
        <v>40026.996767073404</v>
      </c>
    </row>
    <row r="61" spans="2:13" x14ac:dyDescent="0.3">
      <c r="B61" s="30" t="s">
        <v>166</v>
      </c>
      <c r="C61" s="15">
        <v>-1477.066</v>
      </c>
      <c r="D61" s="15">
        <v>-2818.5140000000001</v>
      </c>
      <c r="E61" s="15">
        <v>-3418.99</v>
      </c>
      <c r="F61" s="15">
        <v>-7392.1</v>
      </c>
      <c r="G61" s="15">
        <v>-8781.2000000000007</v>
      </c>
      <c r="H61" s="15">
        <v>-3861.36</v>
      </c>
      <c r="I61" s="16"/>
      <c r="J61" s="16"/>
      <c r="K61" s="16"/>
      <c r="L61" s="16"/>
      <c r="M61" s="38"/>
    </row>
    <row r="62" spans="2:13" x14ac:dyDescent="0.3">
      <c r="B62" s="30" t="s">
        <v>167</v>
      </c>
      <c r="C62" s="15">
        <v>545.74429999999995</v>
      </c>
      <c r="D62" s="15"/>
      <c r="E62" s="15"/>
      <c r="F62" s="15"/>
      <c r="G62" s="15"/>
      <c r="H62" s="15"/>
      <c r="I62" s="16"/>
      <c r="J62" s="16"/>
      <c r="K62" s="16"/>
      <c r="L62" s="16"/>
      <c r="M62" s="38"/>
    </row>
    <row r="63" spans="2:13" x14ac:dyDescent="0.3">
      <c r="B63" s="30" t="s">
        <v>168</v>
      </c>
      <c r="C63" s="15">
        <v>-1980.0723</v>
      </c>
      <c r="D63" s="15">
        <v>-1328.1331</v>
      </c>
      <c r="E63" s="15">
        <v>-488.95</v>
      </c>
      <c r="F63" s="15">
        <v>-109.96</v>
      </c>
      <c r="G63" s="15"/>
      <c r="H63" s="15"/>
      <c r="I63" s="16"/>
      <c r="J63" s="16"/>
      <c r="K63" s="16"/>
      <c r="L63" s="16"/>
      <c r="M63" s="38"/>
    </row>
    <row r="64" spans="2:13" x14ac:dyDescent="0.3">
      <c r="B64" s="30" t="s">
        <v>169</v>
      </c>
      <c r="C64" s="15"/>
      <c r="D64" s="15"/>
      <c r="E64" s="15"/>
      <c r="F64" s="15">
        <v>175</v>
      </c>
      <c r="G64" s="15"/>
      <c r="H64" s="15"/>
      <c r="I64" s="16"/>
      <c r="J64" s="16"/>
      <c r="K64" s="16"/>
      <c r="L64" s="16"/>
      <c r="M64" s="38"/>
    </row>
    <row r="65" spans="2:13" x14ac:dyDescent="0.3">
      <c r="B65" s="30" t="s">
        <v>170</v>
      </c>
      <c r="C65" s="15">
        <v>-537.30640000000005</v>
      </c>
      <c r="D65" s="15">
        <v>-556.96400000000006</v>
      </c>
      <c r="E65" s="15">
        <v>1579.83</v>
      </c>
      <c r="F65" s="15">
        <v>2169.27</v>
      </c>
      <c r="G65" s="15">
        <v>4052.27</v>
      </c>
      <c r="H65" s="15">
        <v>-3490.19</v>
      </c>
      <c r="I65" s="16"/>
      <c r="J65" s="16"/>
      <c r="K65" s="16"/>
      <c r="L65" s="16"/>
      <c r="M65" s="38"/>
    </row>
    <row r="66" spans="2:13" x14ac:dyDescent="0.3">
      <c r="B66" s="30" t="s">
        <v>171</v>
      </c>
      <c r="C66" s="15">
        <v>-3.0183</v>
      </c>
      <c r="D66" s="15">
        <v>-5.8838999999999997</v>
      </c>
      <c r="E66" s="15">
        <v>-8.6300000000000008</v>
      </c>
      <c r="F66" s="15">
        <v>-12.5</v>
      </c>
      <c r="G66" s="15">
        <v>-16.510000000000002</v>
      </c>
      <c r="H66" s="15">
        <v>-25.91</v>
      </c>
      <c r="I66" s="16"/>
      <c r="J66" s="16"/>
      <c r="K66" s="16"/>
      <c r="L66" s="16"/>
      <c r="M66" s="38"/>
    </row>
    <row r="67" spans="2:13" x14ac:dyDescent="0.3">
      <c r="B67" s="30" t="s">
        <v>172</v>
      </c>
      <c r="C67" s="15">
        <v>-10.9092</v>
      </c>
      <c r="D67" s="15">
        <v>-12.360300000000001</v>
      </c>
      <c r="E67" s="15">
        <v>-12.3</v>
      </c>
      <c r="F67" s="15">
        <v>-25.64</v>
      </c>
      <c r="G67" s="15">
        <v>-27.91</v>
      </c>
      <c r="H67" s="15">
        <v>-51.63</v>
      </c>
      <c r="I67" s="16"/>
      <c r="J67" s="16"/>
      <c r="K67" s="16"/>
      <c r="L67" s="16"/>
      <c r="M67" s="38"/>
    </row>
    <row r="68" spans="2:13" x14ac:dyDescent="0.3">
      <c r="B68" s="30" t="s">
        <v>173</v>
      </c>
      <c r="C68" s="15">
        <v>2.0199999999999999E-2</v>
      </c>
      <c r="D68" s="15">
        <v>3465.6644000000001</v>
      </c>
      <c r="E68" s="15">
        <v>4.38</v>
      </c>
      <c r="F68" s="15">
        <v>30.29</v>
      </c>
      <c r="G68" s="15">
        <v>79.52</v>
      </c>
      <c r="H68" s="15">
        <v>1540.31</v>
      </c>
      <c r="I68" s="17">
        <f>'Balance Sheet'!I60</f>
        <v>4982.2500700424334</v>
      </c>
      <c r="J68" s="17">
        <f>'Balance Sheet'!J60</f>
        <v>4283.5034248592156</v>
      </c>
      <c r="K68" s="17">
        <f>'Balance Sheet'!K60</f>
        <v>3753.1823028187418</v>
      </c>
      <c r="L68" s="17">
        <f>'Balance Sheet'!L60</f>
        <v>3129.389107978358</v>
      </c>
      <c r="M68" s="39">
        <f>'Balance Sheet'!M60</f>
        <v>2215.9365669141625</v>
      </c>
    </row>
    <row r="69" spans="2:13" x14ac:dyDescent="0.3">
      <c r="B69" s="30" t="s">
        <v>174</v>
      </c>
      <c r="C69" s="15">
        <v>-0.92979999999999996</v>
      </c>
      <c r="D69" s="15">
        <v>0</v>
      </c>
      <c r="E69" s="15"/>
      <c r="F69" s="15"/>
      <c r="G69" s="15"/>
      <c r="H69" s="15"/>
      <c r="I69" s="16"/>
      <c r="J69" s="16"/>
      <c r="K69" s="16"/>
      <c r="L69" s="16"/>
      <c r="M69" s="38"/>
    </row>
    <row r="70" spans="2:13" x14ac:dyDescent="0.3">
      <c r="B70" s="30" t="s">
        <v>175</v>
      </c>
      <c r="C70" s="15">
        <v>0</v>
      </c>
      <c r="D70" s="15">
        <v>0</v>
      </c>
      <c r="E70" s="15">
        <v>-30.6</v>
      </c>
      <c r="F70" s="15">
        <v>-307.33999999999997</v>
      </c>
      <c r="G70" s="15">
        <v>0</v>
      </c>
      <c r="H70" s="15"/>
      <c r="I70" s="16">
        <v>0</v>
      </c>
      <c r="J70" s="16">
        <v>0</v>
      </c>
      <c r="K70" s="16">
        <v>0</v>
      </c>
      <c r="L70" s="16">
        <v>0</v>
      </c>
      <c r="M70" s="38">
        <v>0</v>
      </c>
    </row>
    <row r="71" spans="2:13" x14ac:dyDescent="0.3">
      <c r="B71" s="31" t="s">
        <v>176</v>
      </c>
      <c r="C71" s="2">
        <f t="shared" ref="C71:H71" si="4">SUM(C58:C70)</f>
        <v>-1573.7793000000001</v>
      </c>
      <c r="D71" s="2">
        <f t="shared" si="4"/>
        <v>2902.9262000000003</v>
      </c>
      <c r="E71" s="2">
        <f t="shared" si="4"/>
        <v>5748.47</v>
      </c>
      <c r="F71" s="2">
        <f t="shared" si="4"/>
        <v>4330.6699999999983</v>
      </c>
      <c r="G71" s="2">
        <f t="shared" si="4"/>
        <v>10820.81</v>
      </c>
      <c r="H71" s="2">
        <f t="shared" si="4"/>
        <v>23387.260000000002</v>
      </c>
      <c r="I71" s="5">
        <f>SUM(I58:I70)</f>
        <v>30286.71711288899</v>
      </c>
      <c r="J71" s="5">
        <f>SUM(J58:J70)</f>
        <v>32779.402100909909</v>
      </c>
      <c r="K71" s="5">
        <f>SUM(K58:K70)</f>
        <v>36151.824614806676</v>
      </c>
      <c r="L71" s="5">
        <f>SUM(L58:L70)</f>
        <v>38871.496463982483</v>
      </c>
      <c r="M71" s="40">
        <f>SUM(M58:M70)</f>
        <v>42242.933333987567</v>
      </c>
    </row>
    <row r="72" spans="2:13" x14ac:dyDescent="0.3">
      <c r="B72" s="31" t="s">
        <v>177</v>
      </c>
      <c r="C72" s="2">
        <f t="shared" ref="C72:H72" si="5">C40+C56+C71</f>
        <v>151.8633999999995</v>
      </c>
      <c r="D72" s="2">
        <f t="shared" si="5"/>
        <v>-3.1100999999994201</v>
      </c>
      <c r="E72" s="2">
        <f t="shared" si="5"/>
        <v>401.47999999999956</v>
      </c>
      <c r="F72" s="2">
        <f t="shared" si="5"/>
        <v>-256.46999999998479</v>
      </c>
      <c r="G72" s="2">
        <f t="shared" si="5"/>
        <v>-230.52999999999884</v>
      </c>
      <c r="H72" s="2">
        <f t="shared" si="5"/>
        <v>261.35000000000218</v>
      </c>
      <c r="I72" s="5">
        <f>I40+I56+I71</f>
        <v>2258.3258286950404</v>
      </c>
      <c r="J72" s="5">
        <f>J40+J56+J71</f>
        <v>1012.5785214378375</v>
      </c>
      <c r="K72" s="5">
        <f>K40+K56+K71</f>
        <v>1147.0249743086679</v>
      </c>
      <c r="L72" s="5">
        <f>L40+L56+L71</f>
        <v>1263.9264046720928</v>
      </c>
      <c r="M72" s="40">
        <f>M40+M56+M71</f>
        <v>1412.4992277408819</v>
      </c>
    </row>
    <row r="73" spans="2:13" x14ac:dyDescent="0.3">
      <c r="B73" s="30" t="s">
        <v>178</v>
      </c>
      <c r="C73" s="15">
        <v>205.9615</v>
      </c>
      <c r="D73" s="15">
        <v>357.82490000000001</v>
      </c>
      <c r="E73" s="15">
        <v>354.71</v>
      </c>
      <c r="F73" s="15">
        <v>756.19</v>
      </c>
      <c r="G73" s="15">
        <v>255.18</v>
      </c>
      <c r="H73" s="15">
        <v>24.65</v>
      </c>
      <c r="I73" s="17">
        <f>H75</f>
        <v>286.00000000000216</v>
      </c>
      <c r="J73" s="17">
        <f>I75</f>
        <v>2544.3258286949999</v>
      </c>
      <c r="K73" s="17">
        <f>J75</f>
        <v>3556.9043501328747</v>
      </c>
      <c r="L73" s="17">
        <f>K75</f>
        <v>4703.9293244414812</v>
      </c>
      <c r="M73" s="39">
        <f>L75</f>
        <v>5967.8557291136212</v>
      </c>
    </row>
    <row r="74" spans="2:13" x14ac:dyDescent="0.3">
      <c r="B74" s="30" t="s">
        <v>179</v>
      </c>
      <c r="C74" s="15"/>
      <c r="D74" s="15"/>
      <c r="E74" s="15"/>
      <c r="F74" s="15">
        <v>-244.54</v>
      </c>
      <c r="G74" s="15"/>
      <c r="H74" s="15"/>
      <c r="I74" s="16"/>
      <c r="J74" s="16"/>
      <c r="K74" s="16"/>
      <c r="L74" s="16"/>
      <c r="M74" s="38"/>
    </row>
    <row r="75" spans="2:13" x14ac:dyDescent="0.3">
      <c r="B75" s="30" t="s">
        <v>180</v>
      </c>
      <c r="C75" s="15">
        <f t="shared" ref="C75:H75" si="6">C73+C74+C72</f>
        <v>357.8248999999995</v>
      </c>
      <c r="D75" s="15">
        <f t="shared" si="6"/>
        <v>354.71480000000059</v>
      </c>
      <c r="E75" s="15">
        <f t="shared" si="6"/>
        <v>756.1899999999996</v>
      </c>
      <c r="F75" s="15">
        <f t="shared" si="6"/>
        <v>255.1800000000153</v>
      </c>
      <c r="G75" s="15">
        <f t="shared" si="6"/>
        <v>24.650000000001171</v>
      </c>
      <c r="H75" s="15">
        <f t="shared" si="6"/>
        <v>286.00000000000216</v>
      </c>
      <c r="I75" s="17">
        <f>'Balance Sheet'!I9</f>
        <v>2544.3258286949999</v>
      </c>
      <c r="J75" s="17">
        <f>'Balance Sheet'!J9</f>
        <v>3556.9043501328747</v>
      </c>
      <c r="K75" s="17">
        <f>'Balance Sheet'!K9</f>
        <v>4703.9293244414812</v>
      </c>
      <c r="L75" s="17">
        <f>'Balance Sheet'!L9</f>
        <v>5967.8557291136212</v>
      </c>
      <c r="M75" s="39">
        <f>'Balance Sheet'!M9</f>
        <v>7380.3549568545177</v>
      </c>
    </row>
    <row r="76" spans="2:13" x14ac:dyDescent="0.3">
      <c r="B76" s="26"/>
      <c r="M76" s="35"/>
    </row>
    <row r="77" spans="2:13" x14ac:dyDescent="0.3">
      <c r="B77" s="58" t="s">
        <v>564</v>
      </c>
      <c r="C77" s="24"/>
      <c r="D77" s="24"/>
      <c r="E77" s="24"/>
      <c r="F77" s="24"/>
      <c r="G77" s="24"/>
      <c r="H77" s="57">
        <f t="shared" ref="H77:M77" si="7">H75-H73-H72</f>
        <v>0</v>
      </c>
      <c r="I77" s="57">
        <f t="shared" si="7"/>
        <v>-4.2746250983327627E-11</v>
      </c>
      <c r="J77" s="57">
        <f t="shared" si="7"/>
        <v>3.7289282772690058E-11</v>
      </c>
      <c r="K77" s="57">
        <f t="shared" si="7"/>
        <v>-6.1390892369672656E-11</v>
      </c>
      <c r="L77" s="57">
        <f t="shared" si="7"/>
        <v>4.7293724492192268E-11</v>
      </c>
      <c r="M77" s="59">
        <f t="shared" si="7"/>
        <v>1.4551915228366852E-11</v>
      </c>
    </row>
  </sheetData>
  <mergeCells count="3">
    <mergeCell ref="B1:H1"/>
    <mergeCell ref="B2:H2"/>
    <mergeCell ref="B3:H3"/>
  </mergeCells>
  <hyperlinks>
    <hyperlink ref="O1" location="Home!A1" tooltip="Back to Home / Index" display="⌂ Home" xr:uid="{BA593BFF-8471-4B91-9391-97B69792CC7C}"/>
  </hyperlinks>
  <pageMargins left="0.7" right="0.7" top="0.75" bottom="0.75" header="0.3" footer="0.3"/>
  <pageSetup scale="53" orientation="portrait"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1FCE0-D1E9-4751-93EE-9DD906F3F224}">
  <sheetPr>
    <tabColor rgb="FFBFBFBF"/>
  </sheetPr>
  <dimension ref="B1:J38"/>
  <sheetViews>
    <sheetView showGridLines="0" zoomScaleNormal="100" workbookViewId="0">
      <selection activeCell="H4" sqref="H1:K1048576"/>
    </sheetView>
  </sheetViews>
  <sheetFormatPr defaultRowHeight="14.4" x14ac:dyDescent="0.3"/>
  <cols>
    <col min="1" max="1" width="1.77734375" customWidth="1"/>
    <col min="2" max="2" width="66.33203125" customWidth="1"/>
    <col min="3" max="8" width="13.21875" customWidth="1"/>
    <col min="9" max="10" width="8.88671875" customWidth="1"/>
  </cols>
  <sheetData>
    <row r="1" spans="2:10" ht="24" customHeight="1" x14ac:dyDescent="0.3">
      <c r="B1" s="505" t="s">
        <v>181</v>
      </c>
      <c r="C1" s="549"/>
      <c r="D1" s="549"/>
      <c r="E1" s="549"/>
      <c r="F1" s="549"/>
      <c r="G1" s="549"/>
      <c r="H1" s="550"/>
      <c r="J1" s="269" t="s">
        <v>891</v>
      </c>
    </row>
    <row r="2" spans="2:10" ht="36" customHeight="1" x14ac:dyDescent="0.3">
      <c r="B2" s="508" t="s">
        <v>182</v>
      </c>
      <c r="C2" s="717"/>
      <c r="D2" s="717"/>
      <c r="E2" s="717"/>
      <c r="F2" s="717"/>
      <c r="G2" s="717"/>
      <c r="H2" s="721"/>
    </row>
    <row r="3" spans="2:10" ht="24" customHeight="1" x14ac:dyDescent="0.3">
      <c r="B3" s="511" t="s">
        <v>2</v>
      </c>
      <c r="C3" s="465"/>
      <c r="D3" s="465"/>
      <c r="E3" s="465"/>
      <c r="F3" s="465"/>
      <c r="G3" s="465"/>
      <c r="H3" s="722"/>
    </row>
    <row r="4" spans="2:10" x14ac:dyDescent="0.3">
      <c r="B4" s="26"/>
      <c r="H4" s="35"/>
    </row>
    <row r="5" spans="2:10" ht="15" thickBot="1" x14ac:dyDescent="0.35">
      <c r="B5" s="47" t="s">
        <v>3</v>
      </c>
      <c r="C5" s="48" t="s">
        <v>4</v>
      </c>
      <c r="D5" s="48" t="s">
        <v>5</v>
      </c>
      <c r="E5" s="48" t="s">
        <v>6</v>
      </c>
      <c r="F5" s="48" t="s">
        <v>7</v>
      </c>
      <c r="G5" s="48" t="s">
        <v>8</v>
      </c>
      <c r="H5" s="64" t="s">
        <v>9</v>
      </c>
    </row>
    <row r="6" spans="2:10" x14ac:dyDescent="0.3">
      <c r="B6" s="26"/>
      <c r="H6" s="35"/>
    </row>
    <row r="7" spans="2:10" x14ac:dyDescent="0.3">
      <c r="B7" s="28" t="s">
        <v>183</v>
      </c>
      <c r="C7" s="13"/>
      <c r="D7" s="13"/>
      <c r="E7" s="13"/>
      <c r="F7" s="13"/>
      <c r="G7" s="13"/>
      <c r="H7" s="36"/>
    </row>
    <row r="8" spans="2:10" x14ac:dyDescent="0.3">
      <c r="B8" s="30" t="s">
        <v>184</v>
      </c>
      <c r="C8" s="15">
        <v>53.903100000000002</v>
      </c>
      <c r="D8" s="15">
        <v>53.923299999999998</v>
      </c>
      <c r="E8" s="15">
        <v>152.97999999999999</v>
      </c>
      <c r="F8" s="15">
        <v>153.59</v>
      </c>
      <c r="G8" s="15">
        <v>154.11000000000001</v>
      </c>
      <c r="H8" s="61">
        <v>154.58000000000001</v>
      </c>
    </row>
    <row r="9" spans="2:10" x14ac:dyDescent="0.3">
      <c r="B9" s="30" t="s">
        <v>185</v>
      </c>
      <c r="C9" s="15">
        <v>2.0199999999999999E-2</v>
      </c>
      <c r="D9" s="15">
        <v>99.061400000000006</v>
      </c>
      <c r="E9" s="15">
        <v>0.61</v>
      </c>
      <c r="F9" s="15">
        <v>0.52</v>
      </c>
      <c r="G9" s="15">
        <v>0.47</v>
      </c>
      <c r="H9" s="61">
        <v>7.01</v>
      </c>
    </row>
    <row r="10" spans="2:10" x14ac:dyDescent="0.3">
      <c r="B10" s="30" t="s">
        <v>186</v>
      </c>
      <c r="C10" s="15">
        <f t="shared" ref="C10:H10" si="0">C8+C9</f>
        <v>53.923300000000005</v>
      </c>
      <c r="D10" s="15">
        <f t="shared" si="0"/>
        <v>152.9847</v>
      </c>
      <c r="E10" s="15">
        <f t="shared" si="0"/>
        <v>153.59</v>
      </c>
      <c r="F10" s="15">
        <f t="shared" si="0"/>
        <v>154.11000000000001</v>
      </c>
      <c r="G10" s="15">
        <f t="shared" si="0"/>
        <v>154.58000000000001</v>
      </c>
      <c r="H10" s="61">
        <f t="shared" si="0"/>
        <v>161.59</v>
      </c>
    </row>
    <row r="11" spans="2:10" x14ac:dyDescent="0.3">
      <c r="B11" s="28" t="s">
        <v>187</v>
      </c>
      <c r="C11" s="13"/>
      <c r="D11" s="13"/>
      <c r="E11" s="13"/>
      <c r="F11" s="13"/>
      <c r="G11" s="13"/>
      <c r="H11" s="36"/>
    </row>
    <row r="12" spans="2:10" x14ac:dyDescent="0.3">
      <c r="B12" s="30" t="s">
        <v>188</v>
      </c>
      <c r="C12" s="15">
        <v>4.8022</v>
      </c>
      <c r="D12" s="15">
        <v>4.8022</v>
      </c>
      <c r="E12" s="15">
        <v>4.8</v>
      </c>
      <c r="F12" s="15">
        <v>4.8</v>
      </c>
      <c r="G12" s="15">
        <v>4.8</v>
      </c>
      <c r="H12" s="61">
        <v>4.8</v>
      </c>
    </row>
    <row r="13" spans="2:10" x14ac:dyDescent="0.3">
      <c r="B13" s="30" t="s">
        <v>189</v>
      </c>
      <c r="C13" s="15">
        <v>1809.6911</v>
      </c>
      <c r="D13" s="15">
        <v>5182.4650000000001</v>
      </c>
      <c r="E13" s="15">
        <v>5247.68</v>
      </c>
      <c r="F13" s="15">
        <v>5418.53</v>
      </c>
      <c r="G13" s="15">
        <v>5538.72</v>
      </c>
      <c r="H13" s="61">
        <v>7095.52</v>
      </c>
    </row>
    <row r="14" spans="2:10" x14ac:dyDescent="0.3">
      <c r="B14" s="30" t="s">
        <v>190</v>
      </c>
      <c r="C14" s="15">
        <v>339.6</v>
      </c>
      <c r="D14" s="15">
        <v>398.3</v>
      </c>
      <c r="E14" s="15">
        <v>515.29999999999995</v>
      </c>
      <c r="F14" s="15">
        <v>926.5</v>
      </c>
      <c r="G14" s="15">
        <v>926.5</v>
      </c>
      <c r="H14" s="61">
        <v>1034.8699999999999</v>
      </c>
    </row>
    <row r="15" spans="2:10" x14ac:dyDescent="0.3">
      <c r="B15" s="30" t="s">
        <v>191</v>
      </c>
      <c r="C15" s="15">
        <v>48.946599999999997</v>
      </c>
      <c r="D15" s="15">
        <v>64.366500000000002</v>
      </c>
      <c r="E15" s="15">
        <v>89.82</v>
      </c>
      <c r="F15" s="15">
        <v>0</v>
      </c>
      <c r="G15" s="15"/>
      <c r="H15" s="61"/>
    </row>
    <row r="16" spans="2:10" x14ac:dyDescent="0.3">
      <c r="B16" s="30" t="s">
        <v>192</v>
      </c>
      <c r="C16" s="15">
        <v>14.218400000000001</v>
      </c>
      <c r="D16" s="15">
        <v>14.218400000000001</v>
      </c>
      <c r="E16" s="15">
        <v>14.22</v>
      </c>
      <c r="F16" s="15">
        <v>14.22</v>
      </c>
      <c r="G16" s="15">
        <v>14.22</v>
      </c>
      <c r="H16" s="61">
        <v>14.22</v>
      </c>
    </row>
    <row r="17" spans="2:8" x14ac:dyDescent="0.3">
      <c r="B17" s="30" t="s">
        <v>193</v>
      </c>
      <c r="C17" s="15">
        <v>17.1569</v>
      </c>
      <c r="D17" s="15">
        <v>22.747399999999999</v>
      </c>
      <c r="E17" s="15">
        <v>118.72</v>
      </c>
      <c r="F17" s="15">
        <v>63.53</v>
      </c>
      <c r="G17" s="15">
        <v>131.21</v>
      </c>
      <c r="H17" s="61">
        <v>179.3</v>
      </c>
    </row>
    <row r="18" spans="2:8" x14ac:dyDescent="0.3">
      <c r="B18" s="30" t="s">
        <v>194</v>
      </c>
      <c r="C18" s="15"/>
      <c r="D18" s="15"/>
      <c r="E18" s="15"/>
      <c r="F18" s="15">
        <v>-186.05</v>
      </c>
      <c r="G18" s="15">
        <v>-177.01</v>
      </c>
      <c r="H18" s="61">
        <v>-176.96</v>
      </c>
    </row>
    <row r="19" spans="2:8" x14ac:dyDescent="0.3">
      <c r="B19" s="30" t="s">
        <v>195</v>
      </c>
      <c r="C19" s="15"/>
      <c r="D19" s="15"/>
      <c r="E19" s="15"/>
      <c r="F19" s="15">
        <v>-0.75</v>
      </c>
      <c r="G19" s="15">
        <v>-78.13</v>
      </c>
      <c r="H19" s="61">
        <v>-83.01</v>
      </c>
    </row>
    <row r="20" spans="2:8" x14ac:dyDescent="0.3">
      <c r="B20" s="30" t="s">
        <v>196</v>
      </c>
      <c r="C20" s="15">
        <v>-103.85469999999999</v>
      </c>
      <c r="D20" s="15">
        <v>196.4956</v>
      </c>
      <c r="E20" s="15">
        <v>704.76</v>
      </c>
      <c r="F20" s="15">
        <v>1759.46</v>
      </c>
      <c r="G20" s="15">
        <v>1659.65</v>
      </c>
      <c r="H20" s="61">
        <v>2091.56</v>
      </c>
    </row>
    <row r="21" spans="2:8" x14ac:dyDescent="0.3">
      <c r="B21" s="30" t="s">
        <v>197</v>
      </c>
      <c r="C21" s="15">
        <v>9.8206000000000007</v>
      </c>
      <c r="D21" s="15">
        <v>19.633199999999999</v>
      </c>
      <c r="E21" s="15">
        <v>12.51</v>
      </c>
      <c r="F21" s="15">
        <v>12.73</v>
      </c>
      <c r="G21" s="15">
        <v>12.8</v>
      </c>
      <c r="H21" s="61">
        <v>12.75</v>
      </c>
    </row>
    <row r="22" spans="2:8" x14ac:dyDescent="0.3">
      <c r="B22" s="30" t="s">
        <v>198</v>
      </c>
      <c r="C22" s="15"/>
      <c r="D22" s="15">
        <v>-5.9900000000000002E-2</v>
      </c>
      <c r="E22" s="15">
        <v>0</v>
      </c>
      <c r="F22" s="15">
        <v>0</v>
      </c>
      <c r="G22" s="15">
        <v>-12.68</v>
      </c>
      <c r="H22" s="61">
        <v>13.6</v>
      </c>
    </row>
    <row r="23" spans="2:8" x14ac:dyDescent="0.3">
      <c r="B23" s="31" t="s">
        <v>199</v>
      </c>
      <c r="C23" s="2">
        <f t="shared" ref="C23:H23" si="1">SUM(C12:C22)</f>
        <v>2140.3811000000005</v>
      </c>
      <c r="D23" s="2">
        <f t="shared" si="1"/>
        <v>5902.9684000000007</v>
      </c>
      <c r="E23" s="2">
        <f t="shared" si="1"/>
        <v>6707.8100000000013</v>
      </c>
      <c r="F23" s="2">
        <f t="shared" si="1"/>
        <v>8012.9699999999993</v>
      </c>
      <c r="G23" s="2">
        <f t="shared" si="1"/>
        <v>8020.0800000000008</v>
      </c>
      <c r="H23" s="62">
        <f t="shared" si="1"/>
        <v>10186.650000000001</v>
      </c>
    </row>
    <row r="24" spans="2:8" x14ac:dyDescent="0.3">
      <c r="B24" s="28" t="s">
        <v>200</v>
      </c>
      <c r="C24" s="13"/>
      <c r="D24" s="13"/>
      <c r="E24" s="13"/>
      <c r="F24" s="13"/>
      <c r="G24" s="13"/>
      <c r="H24" s="36"/>
    </row>
    <row r="25" spans="2:8" x14ac:dyDescent="0.3">
      <c r="B25" s="30" t="s">
        <v>201</v>
      </c>
      <c r="C25" s="15">
        <v>-558.96439999999996</v>
      </c>
      <c r="D25" s="15">
        <v>375.11610000000002</v>
      </c>
      <c r="E25" s="15">
        <v>683.98</v>
      </c>
      <c r="F25" s="15">
        <v>1683.07</v>
      </c>
      <c r="G25" s="15">
        <v>-98.34</v>
      </c>
      <c r="H25" s="61">
        <v>541.80999999999995</v>
      </c>
    </row>
    <row r="26" spans="2:8" x14ac:dyDescent="0.3">
      <c r="B26" s="30" t="s">
        <v>202</v>
      </c>
      <c r="C26" s="15">
        <v>0.57850000000000001</v>
      </c>
      <c r="D26" s="15">
        <v>9.1067999999999998</v>
      </c>
      <c r="E26" s="15">
        <v>-5.36</v>
      </c>
      <c r="F26" s="15">
        <v>0.64</v>
      </c>
      <c r="G26" s="15">
        <v>-14.08</v>
      </c>
      <c r="H26" s="61">
        <v>24.7</v>
      </c>
    </row>
    <row r="27" spans="2:8" x14ac:dyDescent="0.3">
      <c r="B27" s="31" t="s">
        <v>203</v>
      </c>
      <c r="C27" s="2">
        <f t="shared" ref="C27:H27" si="2">C25+C26</f>
        <v>-558.38589999999999</v>
      </c>
      <c r="D27" s="2">
        <f t="shared" si="2"/>
        <v>384.22290000000004</v>
      </c>
      <c r="E27" s="2">
        <f t="shared" si="2"/>
        <v>678.62</v>
      </c>
      <c r="F27" s="2">
        <f t="shared" si="2"/>
        <v>1683.71</v>
      </c>
      <c r="G27" s="2">
        <f t="shared" si="2"/>
        <v>-112.42</v>
      </c>
      <c r="H27" s="62">
        <f t="shared" si="2"/>
        <v>566.51</v>
      </c>
    </row>
    <row r="28" spans="2:8" x14ac:dyDescent="0.3">
      <c r="B28" s="30" t="s">
        <v>204</v>
      </c>
      <c r="C28" s="15">
        <v>0</v>
      </c>
      <c r="D28" s="15">
        <v>0</v>
      </c>
      <c r="E28" s="15">
        <v>-30.6</v>
      </c>
      <c r="F28" s="15">
        <v>-307.41000000000003</v>
      </c>
      <c r="G28" s="15">
        <v>0</v>
      </c>
      <c r="H28" s="61">
        <v>0</v>
      </c>
    </row>
    <row r="29" spans="2:8" x14ac:dyDescent="0.3">
      <c r="B29" s="30" t="s">
        <v>205</v>
      </c>
      <c r="C29" s="15">
        <v>6.0867000000000004</v>
      </c>
      <c r="D29" s="15">
        <v>0</v>
      </c>
      <c r="E29" s="15">
        <v>142.44999999999999</v>
      </c>
      <c r="F29" s="15">
        <v>411.2</v>
      </c>
      <c r="G29" s="15">
        <v>0</v>
      </c>
      <c r="H29" s="61">
        <v>108.37</v>
      </c>
    </row>
    <row r="30" spans="2:8" x14ac:dyDescent="0.3">
      <c r="B30" s="30" t="s">
        <v>206</v>
      </c>
      <c r="C30" s="15"/>
      <c r="D30" s="15">
        <v>3357.2570999999998</v>
      </c>
      <c r="E30" s="15"/>
      <c r="F30" s="15"/>
      <c r="G30" s="15"/>
      <c r="H30" s="61">
        <v>1493.36</v>
      </c>
    </row>
    <row r="31" spans="2:8" x14ac:dyDescent="0.3">
      <c r="B31" s="30" t="s">
        <v>174</v>
      </c>
      <c r="C31" s="15">
        <v>-0.92979999999999996</v>
      </c>
      <c r="D31" s="15">
        <v>-1.4056</v>
      </c>
      <c r="E31" s="15"/>
      <c r="F31" s="15"/>
      <c r="G31" s="15"/>
      <c r="H31" s="61">
        <v>-1.01</v>
      </c>
    </row>
    <row r="32" spans="2:8" x14ac:dyDescent="0.3">
      <c r="B32" s="30" t="s">
        <v>207</v>
      </c>
      <c r="C32" s="15">
        <v>5.6010999999999997</v>
      </c>
      <c r="D32" s="15">
        <v>22.512899999999998</v>
      </c>
      <c r="E32" s="15">
        <v>161.16999999999999</v>
      </c>
      <c r="F32" s="15">
        <v>115.66</v>
      </c>
      <c r="G32" s="15">
        <v>187.95</v>
      </c>
      <c r="H32" s="61">
        <v>110.9</v>
      </c>
    </row>
    <row r="33" spans="2:8" x14ac:dyDescent="0.3">
      <c r="B33" s="30" t="s">
        <v>208</v>
      </c>
      <c r="C33" s="15"/>
      <c r="D33" s="15"/>
      <c r="E33" s="15"/>
      <c r="F33" s="15">
        <v>-89.82</v>
      </c>
      <c r="G33" s="15"/>
      <c r="H33" s="61"/>
    </row>
    <row r="34" spans="2:8" x14ac:dyDescent="0.3">
      <c r="B34" s="30" t="s">
        <v>209</v>
      </c>
      <c r="C34" s="15"/>
      <c r="D34" s="15"/>
      <c r="E34" s="15">
        <v>-6.98</v>
      </c>
      <c r="F34" s="15"/>
      <c r="G34" s="15"/>
      <c r="H34" s="61"/>
    </row>
    <row r="35" spans="2:8" x14ac:dyDescent="0.3">
      <c r="B35" s="30" t="s">
        <v>210</v>
      </c>
      <c r="C35" s="15"/>
      <c r="D35" s="15"/>
      <c r="E35" s="15"/>
      <c r="F35" s="15">
        <v>-0.75</v>
      </c>
      <c r="G35" s="15">
        <v>-77.38</v>
      </c>
      <c r="H35" s="61">
        <v>-4.88</v>
      </c>
    </row>
    <row r="36" spans="2:8" x14ac:dyDescent="0.3">
      <c r="B36" s="30" t="s">
        <v>211</v>
      </c>
      <c r="C36" s="15"/>
      <c r="D36" s="15"/>
      <c r="E36" s="15"/>
      <c r="F36" s="15"/>
      <c r="G36" s="15">
        <v>62.06</v>
      </c>
      <c r="H36" s="61">
        <v>-11.72</v>
      </c>
    </row>
    <row r="37" spans="2:8" x14ac:dyDescent="0.3">
      <c r="B37" s="30" t="s">
        <v>212</v>
      </c>
      <c r="C37" s="15"/>
      <c r="D37" s="15"/>
      <c r="E37" s="15"/>
      <c r="F37" s="15">
        <v>-186.05</v>
      </c>
      <c r="G37" s="15">
        <v>-53.02</v>
      </c>
      <c r="H37" s="61">
        <v>-11.77</v>
      </c>
    </row>
    <row r="38" spans="2:8" x14ac:dyDescent="0.3">
      <c r="B38" s="54" t="s">
        <v>213</v>
      </c>
      <c r="C38" s="52"/>
      <c r="D38" s="52"/>
      <c r="E38" s="52"/>
      <c r="F38" s="52"/>
      <c r="G38" s="52">
        <v>-0.08</v>
      </c>
      <c r="H38" s="63">
        <v>1.64</v>
      </c>
    </row>
  </sheetData>
  <mergeCells count="3">
    <mergeCell ref="B1:H1"/>
    <mergeCell ref="B2:H2"/>
    <mergeCell ref="B3:H3"/>
  </mergeCells>
  <hyperlinks>
    <hyperlink ref="J1" location="Home!A1" tooltip="Back to Home / Index" display="⌂ Home" xr:uid="{CF62B8AE-624D-41C3-9925-5C3FFD69E0D0}"/>
  </hyperlinks>
  <pageMargins left="0.25" right="0.25" top="0.75" bottom="0.75" header="0.3" footer="0.3"/>
  <pageSetup scale="8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Home</vt:lpstr>
      <vt:lpstr>A - Business Model</vt:lpstr>
      <vt:lpstr>Business Operating Model</vt:lpstr>
      <vt:lpstr>FP&amp;A Value Creation Framework</vt:lpstr>
      <vt:lpstr>Distribution Analytics</vt:lpstr>
      <vt:lpstr>Customer Economics</vt:lpstr>
      <vt:lpstr>Customer Analytics</vt:lpstr>
      <vt:lpstr>B - Strategic Finance</vt:lpstr>
      <vt:lpstr>Executive Board Cockpit</vt:lpstr>
      <vt:lpstr>Business Performance Scorecard</vt:lpstr>
      <vt:lpstr>Business Drivers</vt:lpstr>
      <vt:lpstr>KPIs &amp; Ratios</vt:lpstr>
      <vt:lpstr>C - Planning &amp; Forecasting</vt:lpstr>
      <vt:lpstr>Assumptions</vt:lpstr>
      <vt:lpstr>Revenue Forecast</vt:lpstr>
      <vt:lpstr>Funding Forecast</vt:lpstr>
      <vt:lpstr>Treasury</vt:lpstr>
      <vt:lpstr>Credit Cost Forecast</vt:lpstr>
      <vt:lpstr>Operating Cost Forecast</vt:lpstr>
      <vt:lpstr>Regulatory Capital</vt:lpstr>
      <vt:lpstr>CapEx &amp; Depreciation Schedule</vt:lpstr>
      <vt:lpstr>D - Performance &amp; Risk</vt:lpstr>
      <vt:lpstr>Portfolio Mix</vt:lpstr>
      <vt:lpstr>Product Profitability</vt:lpstr>
      <vt:lpstr>Branch Profitability</vt:lpstr>
      <vt:lpstr>Collections Analytics</vt:lpstr>
      <vt:lpstr>Digital Transformation</vt:lpstr>
      <vt:lpstr>Enterprise Risk Cockpit</vt:lpstr>
      <vt:lpstr>Scenario Analysis</vt:lpstr>
      <vt:lpstr>E - Executive Decision Support</vt:lpstr>
      <vt:lpstr>Management Recommendations</vt:lpstr>
      <vt:lpstr>Value Creation Tracker</vt:lpstr>
      <vt:lpstr>F - Financial Statements</vt:lpstr>
      <vt:lpstr>Profit &amp; Loss</vt:lpstr>
      <vt:lpstr>Balance Sheet</vt:lpstr>
      <vt:lpstr>Cash Flow Statement</vt:lpstr>
      <vt:lpstr>Statement of Changes in Equity</vt:lpstr>
      <vt:lpstr>'Management Recommendations'!Print_Area</vt:lpstr>
      <vt:lpstr>'Portfolio Mix'!Print_Area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chhaya pathania</dc:creator>
  <cp:lastModifiedBy>chhaya pathania</cp:lastModifiedBy>
  <cp:lastPrinted>2026-07-25T18:27:15Z</cp:lastPrinted>
  <dcterms:created xsi:type="dcterms:W3CDTF">2026-07-22T22:34:30Z</dcterms:created>
  <dcterms:modified xsi:type="dcterms:W3CDTF">2026-07-26T00:52:12Z</dcterms:modified>
</cp:coreProperties>
</file>